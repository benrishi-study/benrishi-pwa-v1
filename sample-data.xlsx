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53e8c534f740f4" /></Relationships>
</file>

<file path=xl/workbook.xml><?xml version="1.0" encoding="utf-8"?>
<x:workbook xmlns:x="http://schemas.openxmlformats.org/spreadsheetml/2006/main">
  <x:sheets>
    <x:sheet xmlns:r="http://schemas.openxmlformats.org/officeDocument/2006/relationships" name="問題データ" sheetId="1" r:id="R15f479ad797a49a1"/>
    <x:sheet xmlns:r="http://schemas.openxmlformats.org/officeDocument/2006/relationships" name="選択肢" sheetId="2" r:id="Rc9e27de0bfdf40ff"/>
    <x:sheet xmlns:r="http://schemas.openxmlformats.org/officeDocument/2006/relationships" name="使い方" sheetId="3" r:id="Re80479b24dd541ee"/>
    <x:sheet xmlns:r="http://schemas.openxmlformats.org/officeDocument/2006/relationships" name="ミニテスト試作20問" sheetId="4" r:id="Rd3380e8f6bf7462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1"/>
      <x:color rgb="FFFFFFFF"/>
      <x:name val="Carlito"/>
    </x:font>
    <x:font>
      <x:b/>
      <x:sz val="11"/>
      <x:name val="Carlito"/>
    </x:font>
    <x:font>
      <x:b/>
      <x:sz val="14"/>
      <x:color rgb="FFFFFFF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cellXfs>
  <x:cellStyles count="1">
    <x:cellStyle name="Normal" xfId="0"/>
  </x:cellStyles>
  <x:dxfs count="12">
    <x:dxf>
      <x:font>
        <x:b/>
      </x:font>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D9EAF7"/>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879bd467e64c11" /><Relationship Type="http://schemas.openxmlformats.org/officeDocument/2006/relationships/theme" Target="/xl/theme/theme1.xml" Id="Rf0b208be32a04812" /><Relationship Type="http://schemas.openxmlformats.org/officeDocument/2006/relationships/sharedStrings" Target="/xl/sharedStrings.xml" Id="Rc8fcc052ce3f43cc" /><Relationship Type="http://schemas.openxmlformats.org/officeDocument/2006/relationships/worksheet" Target="/xl/worksheets/sheet1.xml" Id="R15f479ad797a49a1" /><Relationship Type="http://schemas.openxmlformats.org/officeDocument/2006/relationships/worksheet" Target="/xl/worksheets/sheet2.xml" Id="Rc9e27de0bfdf40ff" /><Relationship Type="http://schemas.openxmlformats.org/officeDocument/2006/relationships/worksheet" Target="/xl/worksheets/sheet3.xml" Id="Re80479b24dd541ee" /><Relationship Type="http://schemas.openxmlformats.org/officeDocument/2006/relationships/worksheet" Target="/xl/worksheets/sheet4.xml" Id="Rd3380e8f6bf74623" /></Relationships>
</file>

<file path=xl/tables/table1.xml><?xml version="1.0" encoding="utf-8"?>
<x:table xmlns:x="http://schemas.openxmlformats.org/spreadsheetml/2006/main" id="1" name="QuestionBankTable" displayName="QuestionBankTable" ref="A1:S501" headerRowCount="1" totalsRowCount="0" totalsRowShown="0">
  <x:tableColumns count="19">
    <x:tableColumn id="1" name="問題ID"/>
    <x:tableColumn id="2" name="分野"/>
    <x:tableColumn id="3" name="単元"/>
    <x:tableColumn id="4" name="論点"/>
    <x:tableColumn id="5" name="問題形式"/>
    <x:tableColumn id="6" name="問題文"/>
    <x:tableColumn id="7" name="正解"/>
    <x:tableColumn id="8" name="解説"/>
    <x:tableColumn id="9" name="条文"/>
    <x:tableColumn id="10" name="重要度"/>
    <x:tableColumn id="11" name="出典"/>
    <x:tableColumn id="12" name="正答回数"/>
    <x:tableColumn id="13" name="誤答回数"/>
    <x:tableColumn id="14" name="正答率"/>
    <x:tableColumn id="15" name="現在ランク"/>
    <x:tableColumn id="16" name="連続正解数"/>
    <x:tableColumn id="17" name="最終回答日"/>
    <x:tableColumn id="18" name="次回出題日"/>
    <x:tableColumn id="19" name="メモ"/>
  </x:tableColumns>
  <x:tableStyleInfo name="TableStyleMedium2" showFirstColumn="0" showLastColumn="0" showRowStripes="1" showColumnStripes="0"/>
</x:table>
</file>

<file path=xl/tables/table2.xml><?xml version="1.0" encoding="utf-8"?>
<x:table xmlns:x="http://schemas.openxmlformats.org/spreadsheetml/2006/main" id="2" name="MiniTestPrototype20" displayName="MiniTestPrototype20" ref="A1:S21" headerRowCount="1" totalsRowCount="0" totalsRowShown="0">
  <x:tableColumns count="19">
    <x:tableColumn id="1" name="問題ID"/>
    <x:tableColumn id="2" name="分野"/>
    <x:tableColumn id="3" name="単元"/>
    <x:tableColumn id="4" name="論点"/>
    <x:tableColumn id="5" name="問題形式"/>
    <x:tableColumn id="6" name="問題文"/>
    <x:tableColumn id="7" name="正解"/>
    <x:tableColumn id="8" name="解説"/>
    <x:tableColumn id="9" name="条文"/>
    <x:tableColumn id="10" name="重要度"/>
    <x:tableColumn id="11" name="出典"/>
    <x:tableColumn id="12" name="正答回数"/>
    <x:tableColumn id="13" name="誤答回数"/>
    <x:tableColumn id="14" name="正答率"/>
    <x:tableColumn id="15" name="現在ランク"/>
    <x:tableColumn id="16" name="連続正解数"/>
    <x:tableColumn id="17" name="最終回答日"/>
    <x:tableColumn id="18" name="次回出題日"/>
    <x:tableColumn id="19" name="メモ"/>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df5f3a776a4848" /></Relationships>
</file>

<file path=xl/worksheets/_rels/sheet4.xml.rels>&#65279;<?xml version="1.0" encoding="utf-8"?><Relationships xmlns="http://schemas.openxmlformats.org/package/2006/relationships"><Relationship Type="http://schemas.openxmlformats.org/officeDocument/2006/relationships/table" Target="/xl/tables/table2.xml" Id="Rd55ea93babad4256"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1" hidden="0" customWidth="1"/>
    <x:col min="3" max="3" width="18" hidden="0" customWidth="1"/>
    <x:col min="4" max="4" width="24" hidden="0" customWidth="1"/>
    <x:col min="5" max="5" width="12" hidden="0" customWidth="1"/>
    <x:col min="6" max="6" width="48" hidden="0" customWidth="1"/>
    <x:col min="7" max="7" width="10" hidden="0" customWidth="1"/>
    <x:col min="8" max="8" width="54" hidden="0" customWidth="1"/>
    <x:col min="9" max="9" width="16" hidden="0" customWidth="1"/>
    <x:col min="10" max="10" width="10" hidden="0" customWidth="1"/>
    <x:col min="11" max="11" width="32" hidden="0" customWidth="1"/>
    <x:col min="12" max="12" width="10" hidden="0" customWidth="1"/>
    <x:col min="13" max="13" width="10" hidden="0" customWidth="1"/>
    <x:col min="14" max="14" width="10" hidden="0" customWidth="1"/>
    <x:col min="15" max="15" width="11" hidden="0" customWidth="1"/>
    <x:col min="16" max="16" width="11" hidden="0" customWidth="1"/>
    <x:col min="17" max="17" width="13" hidden="0" customWidth="1"/>
    <x:col min="18" max="18" width="13" hidden="0" customWidth="1"/>
    <x:col min="19" max="19" width="45" hidden="0" customWidth="1"/>
  </x:cols>
  <x:sheetData>
    <x:row r="1" ht="28" customHeight="1">
      <x:c r="A1" s="10" t="str">
        <x:v>問題ID</x:v>
      </x:c>
      <x:c r="B1" s="10" t="str">
        <x:v>分野</x:v>
      </x:c>
      <x:c r="C1" s="10" t="str">
        <x:v>単元</x:v>
      </x:c>
      <x:c r="D1" s="10" t="str">
        <x:v>論点</x:v>
      </x:c>
      <x:c r="E1" s="10" t="str">
        <x:v>問題形式</x:v>
      </x:c>
      <x:c r="F1" s="10" t="str">
        <x:v>問題文</x:v>
      </x:c>
      <x:c r="G1" s="10" t="str">
        <x:v>正解</x:v>
      </x:c>
      <x:c r="H1" s="10" t="str">
        <x:v>解説</x:v>
      </x:c>
      <x:c r="I1" s="10" t="str">
        <x:v>条文</x:v>
      </x:c>
      <x:c r="J1" s="10" t="str">
        <x:v>重要度</x:v>
      </x:c>
      <x:c r="K1" s="10" t="str">
        <x:v>出典</x:v>
      </x:c>
      <x:c r="L1" s="10" t="str">
        <x:v>正答回数</x:v>
      </x:c>
      <x:c r="M1" s="10" t="str">
        <x:v>誤答回数</x:v>
      </x:c>
      <x:c r="N1" s="10" t="str">
        <x:v>正答率</x:v>
      </x:c>
      <x:c r="O1" s="10" t="str">
        <x:v>現在ランク</x:v>
      </x:c>
      <x:c r="P1" s="10" t="str">
        <x:v>連続正解数</x:v>
      </x:c>
      <x:c r="Q1" s="10" t="str">
        <x:v>最終回答日</x:v>
      </x:c>
      <x:c r="R1" s="10" t="str">
        <x:v>次回出題日</x:v>
      </x:c>
      <x:c r="S1" s="10" t="str">
        <x:v>メモ</x:v>
      </x:c>
    </x:row>
    <x:row r="2">
      <x:c r="A2" s="22" t="str">
        <x:v>R02-PU01-イ</x:v>
      </x:c>
      <x:c r="B2" s="22" t="str">
        <x:v>特許・実用新案</x:v>
      </x:c>
      <x:c r="C2" s="22" t="str">
        <x:v>特許出願等</x:v>
      </x:c>
      <x:c r="D2" s="22" t="str">
        <x:v>特許出願等／（イ）</x:v>
      </x:c>
      <x:c r="E2" s="22" t="str">
        <x:v>○×</x:v>
      </x:c>
      <x:c r="F2" s="22" t="str">
        <x:v>甲が学会で発明イに係る内容を発表した場合において、当該発表をした日から１年以内に、特許法第３０条第３項に規定する手続きを行い、発明イについて日本への特許出願Ａを行った。その後、出願Ａを優先権主張の基礎として発明イについて国際出願Ｂを行い、出願Ｂを日本に国内移行手続した場合において、出願Ｂの国内処理基準時の属する日後経済産業省令で定める期間内に、発明の新規性の喪失の例外の規定の適用を受けたい旨を記載した書面及び発明イが特許法第３０条第２項の規定の適用を受けることができる発明であることを証明する書面を提出することにより、出願Ｂに係る発明イについて新規性の喪失の例外の規定の適用を受けられる。</x:v>
      </x:c>
      <x:c r="G2" s="22" t="str">
        <x:v>○</x:v>
      </x:c>
      <x:c r="H2" s="22" t="str">
        <x:v>国際出願が、いずれかの指定国において若しくはいずれかの指定国についてされた国内出願に基づく優先権の主張を伴う場合又は一の国のみの指定を含む国際出願に基づく優先権の主張を伴う場合には、当該指定国における優先権の主張の条件及び効果は、当該指定国の国内法令の定めるところによる（ＰＣＴ８条（２）（ｂ））。
そして、国際出願Ｂが、先の国内出願Ａに基づく優先権の主張を伴う場合、指定国としての日本においては、出願Ｂの出願Ａに対する優先権は、国内優先権（特４１条）として扱われる（ＰＣＴ８条（２）（ｂ））。
また、特許を受ける権利を有する者の行為に起因して特２９条１項各号のいずれかに該当するに至った発明について、その該当するに至った日から１年以内にその者が特許出願することにより、新規性の喪失の例外の規定の適用を受けられる（特３０条２項）。
ここで、当該「特許出願」の出願日は、国内優先権の主張を伴う国際特許出願の場合であって、かつ、先の出願において証明書が提出されている場合は、「国内優先権の主張の基礎となった先の出願」の出願日である（特４１条２項）。
本枝では、特許を受ける権利を有する甲が学会で発明イに係る内容を発表した日から１年以内に、特３０条３項に規定する手続きを行い、先の出願Ａを行っているため、Ｂに係るイについて、必要な手続きをすれば、新規性の喪失の例外規定の適用を受けられる。
したがって、出願Ｂの国内処理基準時の属する日後経済産業省令で定める期間内（３０日）に、所定の書面及び証明する書面を提出することにより、出願Ｂに係る新規性喪失の例外規定の適用を受けることができる（特１８４条の１４、「発明の新規性喪失の利害規定についてのＱ＆Ａ集」特許庁（Ｑ５－ｅ））。よって、本枝は正しい。</x:v>
      </x:c>
      <x:c r="I2" s="22" t="str">
        <x:v>特４１条、特２９条１項、特３０条２項、特４１条２項、特３０条３項、特１８４条の１４、ＰＣＴ８条（２）</x:v>
      </x:c>
      <x:c r="J2" s="22" t="str"/>
      <x:c r="K2" s="22" t="str">
        <x:v>令和2年度短答（TAC過去問）／【特許・実用新案】1 （イ）／スライド2-3</x:v>
      </x:c>
      <x:c r="L2" s="22" t="n">
        <x:v>0</x:v>
      </x:c>
      <x:c r="M2" s="22" t="n">
        <x:v>0</x:v>
      </x:c>
      <x:c r="N2" s="23" t="str">
        <x:f>IF(SUM(L2:M2)=0,"",L2/SUM(L2:M2))</x:f>
      </x:c>
      <x:c r="O2" s="22" t="str">
        <x:f>IF(SUM(L2:M2)=0,"NEW",IF(N2&gt;=0.9,"A",IF(N2&gt;=0.75,"B",IF(N2&gt;=0.5,"C","D"))))</x:f>
        <x:v>NEW</x:v>
      </x:c>
      <x:c r="P2" s="22" t="n">
        <x:v>0</x:v>
      </x:c>
      <x:c r="Q2" s="24"/>
      <x:c r="R2" s="24"/>
      <x:c r="S2" s="22" t="str">
        <x:v>原問：特許出願等に関し、次の（イ）～（ホ）のうち、誤っているものは、いくつあるか。（ただし書省略）</x:v>
      </x:c>
    </x:row>
    <x:row r="3">
      <x:c r="A3" s="22" t="str">
        <x:v>R02-PU01-ロ</x:v>
      </x:c>
      <x:c r="B3" s="22" t="str">
        <x:v>特許・実用新案</x:v>
      </x:c>
      <x:c r="C3" s="22" t="str">
        <x:v>特許出願等</x:v>
      </x:c>
      <x:c r="D3" s="22" t="str">
        <x:v>特許出願等／（ロ）</x:v>
      </x:c>
      <x:c r="E3" s="22" t="str">
        <x:v>○×</x:v>
      </x:c>
      <x:c r="F3" s="22" t="str">
        <x:v>外国語書面出願において、特許法第３６条の２第４項に規定する期間内に外国語書面の日本語による翻訳文を提出することができなかったことにより取り下げられたものとみなされた当該外国語書面出願の出願人は、上記期間内に当該翻訳文を提出することができなかったことについてその責めに帰することができない理由がある場合に限り、経済産業省令で定める期間内に当該翻訳文を特許庁長官に提出することができる。</x:v>
      </x:c>
      <x:c r="G3" s="22" t="str">
        <x:v>×</x:v>
      </x:c>
      <x:c r="H3" s="22" t="str">
        <x:v>外国語書面出願（特３６条の２第１項）において、所定の期間内に翻訳文（同２項）の提出がなかった旨の通知（同３項）を受けた者は、経済産業省令で定める期間内に限り、第２項に規定する翻訳文を特許庁長官に提出することができる（同４項）。翻訳文の提出がなかった場合は、その外国語書面出願は取り下げられたものとみなされる（同５項）。救済手続として、第４項に規定する期間（通知の日から２月）の経過後においても、「期間の徒過が故意によるものであった場合を除き、経済産業省令で定めるところにより」、経済産業省令で定める期間内に限り、翻訳文を特許庁長官に提出することができる（同６項）。本問では『その責めに帰することができない理由がある場合に限り』としている。よって、本枝は誤り。
【参考】
外国語書面出願の出願人が、特許法第３６条の２第２項本文に規定する期間（出願日から１年４月以内）に、同項に規定する翻訳文の提出をせず、同条第３項による特許庁長官の通知を受けたが、同条第４項に規定する期間内（通知の日から２月：特施規２５条の７④）にも翻訳文を特許庁長官に提出しなかったときは、当該外国語書面出願は、同条第２項本文に規定する期間（出願日から１年４月以内）の経過の時に取り下げられたものとみなされる（同条第５項）。しかし、当該特許出願の出願人は、第４項に規定する期間内（通知の日から２月：特施規２５条の７④）に当該翻訳文を提出することができなかつたときは、経済産業省令で定める期間内（提出できるようになった日から２月。ただし、通知の日から２月経過後１年以内：特施規２５条の７⑤）に限り、第２項に規定する翻訳文を特許庁長官に提出することができる。ただし、故意に第４項に規定する期間内（通知の日から２月）に提出しなかった場合はこの限りでない（同条第６項）。</x:v>
      </x:c>
      <x:c r="I3" s="22" t="str">
        <x:v>特３６条の２第１項</x:v>
      </x:c>
      <x:c r="J3" s="22" t="str"/>
      <x:c r="K3" s="22" t="str">
        <x:v>令和2年度短答（TAC過去問）／【特許・実用新案】1 （ロ）／スライド5-6</x:v>
      </x:c>
      <x:c r="L3" s="22" t="n">
        <x:v>0</x:v>
      </x:c>
      <x:c r="M3" s="22" t="n">
        <x:v>0</x:v>
      </x:c>
      <x:c r="N3" s="23" t="str">
        <x:f>IF(SUM(L3:M3)=0,"",L3/SUM(L3:M3))</x:f>
      </x:c>
      <x:c r="O3" s="22" t="str">
        <x:f>IF(SUM(L3:M3)=0,"NEW",IF(N3&gt;=0.9,"A",IF(N3&gt;=0.75,"B",IF(N3&gt;=0.5,"C","D"))))</x:f>
        <x:v>NEW</x:v>
      </x:c>
      <x:c r="P3" s="22" t="n">
        <x:v>0</x:v>
      </x:c>
      <x:c r="Q3" s="24"/>
      <x:c r="R3" s="24"/>
      <x:c r="S3" s="22" t="str">
        <x:v>原問：特許出願等に関し、次の（イ）～（ホ）のうち、誤っているものは、いくつあるか。（ただし書省略）</x:v>
      </x:c>
    </x:row>
    <x:row r="4">
      <x:c r="A4" s="22" t="str">
        <x:v>R02-PU01-ハ</x:v>
      </x:c>
      <x:c r="B4" s="22" t="str">
        <x:v>特許・実用新案</x:v>
      </x:c>
      <x:c r="C4" s="22" t="str">
        <x:v>特許出願等</x:v>
      </x:c>
      <x:c r="D4" s="22" t="str">
        <x:v>特許出願等／（ハ）</x:v>
      </x:c>
      <x:c r="E4" s="22" t="str">
        <x:v>○×</x:v>
      </x:c>
      <x:c r="F4" s="22" t="str">
        <x:v>外国語書面出願において、誤訳訂正書による補正がされた場合、誤訳訂正書による補正に誤訳訂正を目的としない補正が含まれていることを理由として、拒絶の理由が通知される場合がある。</x:v>
      </x:c>
      <x:c r="G4" s="22" t="str">
        <x:v>×</x:v>
      </x:c>
      <x:c r="H4" s="22" t="str">
        <x:v>外国語書面出願において、誤訳訂正書による補正に誤訳の訂正を目的としない補正が含まれていたとしても、そのことは、拒絶理由とされていない（特実審査基準第Ⅶ部第２章４．１）。
したがって、誤訳訂正書による補正（特１７条の２第２項）に、誤訳訂正を目的としない補正が含まれるとしても拒絶理由には該当しない（特４９条各号）。よって、本枝は誤り。</x:v>
      </x:c>
      <x:c r="I4" s="22" t="str">
        <x:v>特１７条の２第２項、特４９条</x:v>
      </x:c>
      <x:c r="J4" s="22" t="str"/>
      <x:c r="K4" s="22" t="str">
        <x:v>令和2年度短答（TAC過去問）／【特許・実用新案】1 （ハ）／スライド8</x:v>
      </x:c>
      <x:c r="L4" s="22" t="n">
        <x:v>0</x:v>
      </x:c>
      <x:c r="M4" s="22" t="n">
        <x:v>0</x:v>
      </x:c>
      <x:c r="N4" s="23" t="str">
        <x:f>IF(SUM(L4:M4)=0,"",L4/SUM(L4:M4))</x:f>
      </x:c>
      <x:c r="O4" s="22" t="str">
        <x:f>IF(SUM(L4:M4)=0,"NEW",IF(N4&gt;=0.9,"A",IF(N4&gt;=0.75,"B",IF(N4&gt;=0.5,"C","D"))))</x:f>
        <x:v>NEW</x:v>
      </x:c>
      <x:c r="P4" s="22" t="n">
        <x:v>0</x:v>
      </x:c>
      <x:c r="Q4" s="24"/>
      <x:c r="R4" s="24"/>
      <x:c r="S4" s="22" t="str">
        <x:v>原問：特許出願等に関し、次の（イ）～（ホ）のうち、誤っているものは、いくつあるか。（ただし書省略）</x:v>
      </x:c>
    </x:row>
    <x:row r="5">
      <x:c r="A5" s="22" t="str">
        <x:v>R02-PU01-ニ</x:v>
      </x:c>
      <x:c r="B5" s="22" t="str">
        <x:v>特許・実用新案</x:v>
      </x:c>
      <x:c r="C5" s="22" t="str">
        <x:v>特許出願等</x:v>
      </x:c>
      <x:c r="D5" s="22" t="str">
        <x:v>特許出願等／（ニ）</x:v>
      </x:c>
      <x:c r="E5" s="22" t="str">
        <x:v>○×</x:v>
      </x:c>
      <x:c r="F5" s="22" t="str">
        <x:v>特許庁長官が、特許出願の日の認定に際して、明細書又は図面の一部の記載が欠けているため、その旨を特許出願人に通知し、特許出願人は、経済産業省令で定める期間内に明細書又は図面の補完に係る書面（以下「明細書等補完書」という。）を提出した。その後、特許庁長官が、当該特許出願が特許を受けようとする旨の表示が明確でないと認め、特許出願について補完をすることができる旨を通知した。特許出願人が、経済産業省令で定める期間内に、手続の補完に係る書面を提出することにより、その特許出願の出願日は、明細書等補完書を提出した日となる。</x:v>
      </x:c>
      <x:c r="G5" s="22" t="str">
        <x:v>×</x:v>
      </x:c>
      <x:c r="H5" s="22" t="str">
        <x:v>本問では、明細書等補完書（特３８条の４第３項）を提出した後に、手続補完書（特３８条の２第１項１号）を提出していることから、その特許出願は「手続補完書」を提出した時にしたものとみなされる（特認条の４第５項）。よって、本枝は誤り。</x:v>
      </x:c>
      <x:c r="I5" s="22" t="str">
        <x:v>特３８条の４第３項、特３８条の２第１項１号</x:v>
      </x:c>
      <x:c r="J5" s="22" t="str"/>
      <x:c r="K5" s="22" t="str">
        <x:v>令和2年度短答（TAC過去問）／【特許・実用新案】1 （ニ）／スライド9</x:v>
      </x:c>
      <x:c r="L5" s="22" t="n">
        <x:v>0</x:v>
      </x:c>
      <x:c r="M5" s="22" t="n">
        <x:v>0</x:v>
      </x:c>
      <x:c r="N5" s="23" t="str">
        <x:f>IF(SUM(L5:M5)=0,"",L5/SUM(L5:M5))</x:f>
      </x:c>
      <x:c r="O5" s="22" t="str">
        <x:f>IF(SUM(L5:M5)=0,"NEW",IF(N5&gt;=0.9,"A",IF(N5&gt;=0.75,"B",IF(N5&gt;=0.5,"C","D"))))</x:f>
        <x:v>NEW</x:v>
      </x:c>
      <x:c r="P5" s="22" t="n">
        <x:v>0</x:v>
      </x:c>
      <x:c r="Q5" s="24"/>
      <x:c r="R5" s="24"/>
      <x:c r="S5" s="22" t="str">
        <x:v>原問：特許出願等に関し、次の（イ）～（ホ）のうち、誤っているものは、いくつあるか。（ただし書省略）</x:v>
      </x:c>
    </x:row>
    <x:row r="6">
      <x:c r="A6" s="22" t="str">
        <x:v>R02-PU01-ホ</x:v>
      </x:c>
      <x:c r="B6" s="22" t="str">
        <x:v>特許・実用新案</x:v>
      </x:c>
      <x:c r="C6" s="22" t="str">
        <x:v>特許出願等</x:v>
      </x:c>
      <x:c r="D6" s="22" t="str">
        <x:v>特許出願等／（ホ）</x:v>
      </x:c>
      <x:c r="E6" s="22" t="str">
        <x:v>○×</x:v>
      </x:c>
      <x:c r="F6" s="22" t="str">
        <x:v>実用新案登録出願人又は実用新案登録の権利者は、他人による実用新案技術評価の請求は取り下げることができないが、実用新案登録出願人又は実用新案登録の権利者自身による実用新案技術評価の請求は取り下げることができる。</x:v>
      </x:c>
      <x:c r="G6" s="22" t="str">
        <x:v>×</x:v>
      </x:c>
      <x:c r="H6" s="22" t="str">
        <x:v>実用新案登録出願又は実用新案登録については、何人も、特許庁長官に、実用新案技術評価を請求でき（実１２条１項）、また、この請求は、取り下げることはできない（同６項）と規定し、主体による例外はない。
特許庁長官は、実用新案掲載公報の発行前に実用新案技術評価の請求があつたときは当該実用新案掲載公報の発行の際又はその後遅滞なく、実用新案掲載公報の発行後に実用新案技術評価の請求があつたときはその後遅滞なく、その旨を実用新案公報に掲載しなければならない（実１３条１項）。
また、特許庁長官は、実用新案登録出願人又は実用新案権者でない者から実用新案技術評価の請求があつたときは、その旨を実用新案登録出願人又は実用新案権者に通知しなければならない（実１３条２項）。
これにより、実用新案技術評価の請求があったことは、実用新案登録出願人等及び第三者が知ることになるが、例えば、実用新案登録出願人等が行った請求の結果、作成された実用新案技術評価書を基に実施をしようとする第三者の期待を、他方、第三者が行った請求の結果、作成された実用新案技術評価書を基に権利行使しようとする権利者等の期待を保護する必要があるからである（青本同項）。
また、実用新案登録出願人又は実用新案登録の権利者自身による請求における例外規定もない。よって、本枝は誤り。</x:v>
      </x:c>
      <x:c r="I6" s="22" t="str">
        <x:v>実１２条１項、実１３条１項、実１３条２項</x:v>
      </x:c>
      <x:c r="J6" s="22" t="str"/>
      <x:c r="K6" s="22" t="str">
        <x:v>令和2年度短答（TAC過去問）／【特許・実用新案】1 （ホ）／スライド10-11</x:v>
      </x:c>
      <x:c r="L6" s="22" t="n">
        <x:v>0</x:v>
      </x:c>
      <x:c r="M6" s="22" t="n">
        <x:v>0</x:v>
      </x:c>
      <x:c r="N6" s="23" t="str">
        <x:f>IF(SUM(L6:M6)=0,"",L6/SUM(L6:M6))</x:f>
      </x:c>
      <x:c r="O6" s="22" t="str">
        <x:f>IF(SUM(L6:M6)=0,"NEW",IF(N6&gt;=0.9,"A",IF(N6&gt;=0.75,"B",IF(N6&gt;=0.5,"C","D"))))</x:f>
        <x:v>NEW</x:v>
      </x:c>
      <x:c r="P6" s="22" t="n">
        <x:v>0</x:v>
      </x:c>
      <x:c r="Q6" s="24"/>
      <x:c r="R6" s="24"/>
      <x:c r="S6" s="22" t="str">
        <x:v>原問：特許出願等に関し、次の（イ）～（ホ）のうち、誤っているものは、いくつあるか。（ただし書省略）</x:v>
      </x:c>
    </x:row>
    <x:row r="7">
      <x:c r="A7" s="22" t="str">
        <x:v>R02-PU02-5</x:v>
      </x:c>
      <x:c r="B7" s="22" t="str">
        <x:v>特許・実用新案</x:v>
      </x:c>
      <x:c r="C7" s="22" t="str">
        <x:v>通常実施権</x:v>
      </x:c>
      <x:c r="D7" s="22" t="str">
        <x:v>通常実施権／5</x:v>
      </x:c>
      <x:c r="E7" s="22" t="str">
        <x:v>○×</x:v>
      </x:c>
      <x:c r="F7" s="22" t="str">
        <x:v>甲は、実用新案権Ａを有し、日本国内において実用新案権Ａに係る考案の実施である事業イを行っていた。事業イの開始後、実用新案権Ａに対して、実用新案登録無効審判が請求され、実用新案権Ａに係る実用新案登録出願の考案が、当該出願前に出願された実用新案権Ｂに係る実用新案登録出願の考案と同一であるとして、実用新案権Ａに係る実用新案登録を無効とすべき旨の審決が確定した。甲は、上記無効とすべき理由を知らないで事業イを行っていたときであっても、実用新案権Ｂについて、無効審判の請求の登録前の実施による通常実施権を有さない。</x:v>
      </x:c>
      <x:c r="G7" s="22" t="str">
        <x:v>○</x:v>
      </x:c>
      <x:c r="H7" s="22" t="str">
        <x:v>特許権を無効とされた原特許権者は、その特許を無効にした場合に残された有効な実用新案権又はその専用実施権に対して、無効審判の請求登録前の実施による通常実施権を有する（実２０条１項）。
一方、実用新案法では、実体的要件についての審査を経ることなく登録がなされることになったため（実１４条２項）、実用新案登録が無効理由を有することを知らずに当該考案を実施していたとしても、無効理由を有していた実用新案Ａの権利者等（甲）に関しては中用権（通常実施権）を認めていない（実２０条１項、青本実２０条）。よって、本枝は正しい。</x:v>
      </x:c>
      <x:c r="I7" s="22" t="str">
        <x:v>実２０条１項、実１４条２項、実２０条</x:v>
      </x:c>
      <x:c r="J7" s="22" t="str"/>
      <x:c r="K7" s="22" t="str">
        <x:v>令和2年度短答（TAC過去問）／【特許・実用新案】2 5／スライド12</x:v>
      </x:c>
      <x:c r="L7" s="22" t="n">
        <x:v>0</x:v>
      </x:c>
      <x:c r="M7" s="22" t="n">
        <x:v>0</x:v>
      </x:c>
      <x:c r="N7" s="23" t="str">
        <x:f>IF(SUM(L7:M7)=0,"",L7/SUM(L7:M7))</x:f>
      </x:c>
      <x:c r="O7" s="22" t="str">
        <x:f>IF(SUM(L7:M7)=0,"NEW",IF(N7&gt;=0.9,"A",IF(N7&gt;=0.75,"B",IF(N7&gt;=0.5,"C","D"))))</x:f>
        <x:v>NEW</x:v>
      </x:c>
      <x:c r="P7" s="22" t="n">
        <x:v>0</x:v>
      </x:c>
      <x:c r="Q7" s="24"/>
      <x:c r="R7" s="24"/>
      <x:c r="S7" s="22" t="str">
        <x:v>原問：通常実施権に関し、次のうち、誤っているものは、どれか。</x:v>
      </x:c>
    </x:row>
    <x:row r="8">
      <x:c r="A8" s="22" t="str">
        <x:v>R02-PU03-ロ</x:v>
      </x:c>
      <x:c r="B8" s="22" t="str">
        <x:v>特許・実用新案</x:v>
      </x:c>
      <x:c r="C8" s="22" t="str">
        <x:v>通常実施権</x:v>
      </x:c>
      <x:c r="D8" s="22" t="str">
        <x:v>通常実施権／（ロ）</x:v>
      </x:c>
      <x:c r="E8" s="22" t="str">
        <x:v>○×</x:v>
      </x:c>
      <x:c r="F8" s="22" t="str">
        <x:v>拒絶査定不服審判の請求が行われた査定に審査官として関与した審査官が、当該査定に関与したことを原因として、前置審査の職務の執行から除斥される場合がある。</x:v>
      </x:c>
      <x:c r="G8" s="22" t="str">
        <x:v>×</x:v>
      </x:c>
      <x:c r="H8" s="22" t="str">
        <x:v>審判官が事件について不服を申し立てられた査定に審査官として関与したときは、その職務の執行から除斥されるが（特１３９条６号）、審判官に特有の除斥理由であり、審査官には準用されていない（特１６３条１項で準用する特４８条かっこ書）。
これは、前置審査は、拒絶査定不服審判の請求時に所定の補正がされた場合などに、まず審査段階でもう一度見直す仕組みである一方、審判は審査とは別の立場から査定の当否をチェックする制度であるからである。よって、本枝は誤り。</x:v>
      </x:c>
      <x:c r="I8" s="22" t="str">
        <x:v>特１３９条６号、特１６３条１項、特４８条</x:v>
      </x:c>
      <x:c r="J8" s="22" t="str"/>
      <x:c r="K8" s="22" t="str">
        <x:v>令和2年度短答（TAC過去問）／【特許・実用新案】3 （ロ）／スライド13</x:v>
      </x:c>
      <x:c r="L8" s="22" t="n">
        <x:v>0</x:v>
      </x:c>
      <x:c r="M8" s="22" t="n">
        <x:v>0</x:v>
      </x:c>
      <x:c r="N8" s="23" t="str">
        <x:f>IF(SUM(L8:M8)=0,"",L8/SUM(L8:M8))</x:f>
      </x:c>
      <x:c r="O8" s="22" t="str">
        <x:f>IF(SUM(L8:M8)=0,"NEW",IF(N8&gt;=0.9,"A",IF(N8&gt;=0.75,"B",IF(N8&gt;=0.5,"C","D"))))</x:f>
        <x:v>NEW</x:v>
      </x:c>
      <x:c r="P8" s="22" t="n">
        <x:v>0</x:v>
      </x:c>
      <x:c r="Q8" s="24"/>
      <x:c r="R8" s="24"/>
      <x:c r="S8" s="22" t="str">
        <x:v>原問：通常実施権に関し、次のうち、誤っているものは、どれか。</x:v>
      </x:c>
    </x:row>
    <x:row r="9">
      <x:c r="A9" s="22" t="str">
        <x:v>R02-PU03-ハ</x:v>
      </x:c>
      <x:c r="B9" s="22" t="str">
        <x:v>特許・実用新案</x:v>
      </x:c>
      <x:c r="C9" s="22" t="str">
        <x:v>通常実施権</x:v>
      </x:c>
      <x:c r="D9" s="22" t="str">
        <x:v>通常実施権／（ハ）</x:v>
      </x:c>
      <x:c r="E9" s="22" t="str">
        <x:v>○×</x:v>
      </x:c>
      <x:c r="F9" s="22" t="str">
        <x:v>拒絶をすべき旨の最初の査定を受けた者は、その査定の謄本の送達後、特許出願の一部を新たな出願（いわゆる分割出願）とした場合には、その後、拒絶査定不服審判を請求することができない。</x:v>
      </x:c>
      <x:c r="G9" s="22" t="str">
        <x:v>×</x:v>
      </x:c>
      <x:c r="H9" s="22" t="str">
        <x:v>特許出願人は、拒絶をすべき旨の最初の査定の謄本の送達があった日から３月以内に、特許出願の分割をすることができる（特４４条１項３号）。また、拒絶をすべき旨の査定を受けた者は、その査定に不服があるときは、その査定の謄本の送達があった日から３月以内に拒絶査定不服審判を請求することができる（特１２１条１項）。いわゆる分割出頴をした場合に、その後の拒絶査定不服審判の請求は制限されていない。よって、本枝は誤り。
なお、分割で権利化が見込める発明を切り出す一方、原出願において拒絶査定不服審判により拒絶理由を争うことは実務でも一般的である。</x:v>
      </x:c>
      <x:c r="I9" s="22" t="str">
        <x:v>特４４条１項３号、特１２１条１項</x:v>
      </x:c>
      <x:c r="J9" s="22" t="str"/>
      <x:c r="K9" s="22" t="str">
        <x:v>令和2年度短答（TAC過去問）／【特許・実用新案】3 （ハ）／スライド14</x:v>
      </x:c>
      <x:c r="L9" s="22" t="n">
        <x:v>0</x:v>
      </x:c>
      <x:c r="M9" s="22" t="n">
        <x:v>0</x:v>
      </x:c>
      <x:c r="N9" s="23" t="str">
        <x:f>IF(SUM(L9:M9)=0,"",L9/SUM(L9:M9))</x:f>
      </x:c>
      <x:c r="O9" s="22" t="str">
        <x:f>IF(SUM(L9:M9)=0,"NEW",IF(N9&gt;=0.9,"A",IF(N9&gt;=0.75,"B",IF(N9&gt;=0.5,"C","D"))))</x:f>
        <x:v>NEW</x:v>
      </x:c>
      <x:c r="P9" s="22" t="n">
        <x:v>0</x:v>
      </x:c>
      <x:c r="Q9" s="24"/>
      <x:c r="R9" s="24"/>
      <x:c r="S9" s="22" t="str">
        <x:v>原問：通常実施権に関し、次のうち、誤っているものは、どれか。</x:v>
      </x:c>
    </x:row>
    <x:row r="10">
      <x:c r="A10" s="22" t="str">
        <x:v>R02-PU03-ニ</x:v>
      </x:c>
      <x:c r="B10" s="22" t="str">
        <x:v>特許・実用新案</x:v>
      </x:c>
      <x:c r="C10" s="22" t="str">
        <x:v>通常実施権</x:v>
      </x:c>
      <x:c r="D10" s="22" t="str">
        <x:v>通常実施権／（ニ）</x:v>
      </x:c>
      <x:c r="E10" s="22" t="str">
        <x:v>○×</x:v>
      </x:c>
      <x:c r="F10" s="22" t="str">
        <x:v>拒絶査定不服審判の請求と同時にその請求に係る特許出願の願書に添付した明細書、特許請求の範囲又は図面について補正があった場合において、当該補正が特許法第１７条の２第３項（いわゆる新規事項の追加）の規定に違反しているときは、審判請求人に対して意見書を提出する機会が与えられることなく、その補正が却下され、審判の請求は成り立たない旨の審決がされる場合がある。</x:v>
      </x:c>
      <x:c r="G10" s="22" t="str">
        <x:v>○</x:v>
      </x:c>
      <x:c r="H10" s="22" t="str">
        <x:v>補正却下（特５３条）の規定は、拒絶査定不服審判に準用する（特１５９条１項）。補正却下の対象となるのは、①拒絶査定不服審判請求時の補正、②拒絶査定不服審判における第２回目以降の拒絶理由通知に対する補正、③拒絶査定不服審判における拒絶理由通知とあわせて特５０条の２の規定による通知がなされた場合の補正である（特１５９条１項で読替えて準する特５３条１項）。
これは、第二回目以降の拒絶理由通知に対する補正（１７条の２第１項３号）が不適法である場合についてまで、特許出願の拒絶の理由とすると、その補正が不適法である旨の拒絶理由を再度通知し、更にその拒絶理由通知に対しては、補正が可能であるから、更に補正について審査を行う必要があり、審査の迅速性が確保されにくいこととなるため、本条において、第二回目以降の拒絶理由通知に対する補正が不適法であることが特許査定の謄本の送達前に認められた場合には、当該補正を却下することとしたものである。また、分割出願制度の濫用を抑止する観点から、第一回目の拒絶理由通知と併せて５０条の２の規定による通知がされた場合も、第二回目以降の拒絶理由通知がされた場合と同様に扱うこととした。
本枝の補正は、上記①に該当している。したがって、当該補正が特１７条の２第３項に違反しているときは、意見書を提出する機会を与えることなく、その補正を却下し、審判の請求は成り立たない旨の審決がされる場合がある（準特５３条１項）。よって、本枝は正しい。
なお、査定後・登録後に無効理由となるのは、原則として１７条の２第３項の新規事項追加だけである（その他の要件は手続的制限であり実体的瑕疵ではない）。</x:v>
      </x:c>
      <x:c r="I10" s="22" t="str">
        <x:v>特５３条、特１５９条１項、特５０条の２、特５３条１項、特１７条の２第３項</x:v>
      </x:c>
      <x:c r="J10" s="22" t="str"/>
      <x:c r="K10" s="22" t="str">
        <x:v>令和2年度短答（TAC過去問）／【特許・実用新案】3 （ニ）／スライド15-16</x:v>
      </x:c>
      <x:c r="L10" s="22" t="n">
        <x:v>0</x:v>
      </x:c>
      <x:c r="M10" s="22" t="n">
        <x:v>0</x:v>
      </x:c>
      <x:c r="N10" s="23" t="str">
        <x:f>IF(SUM(L10:M10)=0,"",L10/SUM(L10:M10))</x:f>
      </x:c>
      <x:c r="O10" s="22" t="str">
        <x:f>IF(SUM(L10:M10)=0,"NEW",IF(N10&gt;=0.9,"A",IF(N10&gt;=0.75,"B",IF(N10&gt;=0.5,"C","D"))))</x:f>
        <x:v>NEW</x:v>
      </x:c>
      <x:c r="P10" s="22" t="n">
        <x:v>0</x:v>
      </x:c>
      <x:c r="Q10" s="24"/>
      <x:c r="R10" s="24"/>
      <x:c r="S10" s="22" t="str">
        <x:v>原問：通常実施権に関し、次のうち、誤っているものは、どれか。</x:v>
      </x:c>
    </x:row>
    <x:row r="11">
      <x:c r="A11" s="22" t="str">
        <x:v>R02-PU04-ハ</x:v>
      </x:c>
      <x:c r="B11" s="22" t="str">
        <x:v>特許・実用新案</x:v>
      </x:c>
      <x:c r="C11" s="22" t="str">
        <x:v>特許法第２９条の２（いわゆる拡大された範囲の先願）及び第３９条（先願）</x:v>
      </x:c>
      <x:c r="D11" s="22" t="str">
        <x:v>特許法第２９条の２（いわゆる拡大された範囲の先願）及び第３９条（先願）／（ハ）</x:v>
      </x:c>
      <x:c r="E11" s="22" t="str">
        <x:v>○×</x:v>
      </x:c>
      <x:c r="F11" s="22" t="str">
        <x:v>甲は、発明イについて特許出願Ａをした後、出願Ａを基礎とする特許法第４１条第１項の規定による優先権の主張を伴う発明イ及び発明ロについての特許出願Ｂをした。出願Ａは、特許法第４２条第１項の規定により取り下げられたものとみなされ、出願公開されることはなかった。乙は、出願Ｂの出願の日からその出願公開の日までの間に、発明ロについて特許出願Ｃをした。出願Ｃは、出願Ｂがいわゆる拡大された範囲の先願であることを理由として拒絶されることはない。
【共通条件】ただし、特に文中に示した場合を除いて、特許出願は、外国語書面出願、国際出願に係る特許出願、特許出願の分割に係る新たな特許出願、出願の変更に係る特許出願又は実用新案登録に基づく特許出願ではなく、取下げ、放棄又は却下されておらず、査定又は審決が確定しておらず、いかなる補正もされておらず、いかなる優先権の主張も伴わないものとする。
なお、特に文中に示した場合を除いて、発明については、いずれも出願人が自らした発明とする。</x:v>
      </x:c>
      <x:c r="G11" s="22" t="str">
        <x:v>×</x:v>
      </x:c>
      <x:c r="H11" s="22" t="str">
        <x:v>出願Ｃ（ロ）は、発明イ及び発明ロについての先願Ｂの出願後に出願され、Cの出顔後にBは出願公開されている。したがって、Cは、Bの存在を理由として特２９条の２により拒絶される（特４９条２号）。よって、本枝は誤り。
※特２９条の２の５要件
①　日前の特許出願又は実用新案登録出願があること
②　日前の出願についての特許掲載公報の発行、出願公開、又は実用新案掲載公報の発行が当該出願（後願）の後にされていること
③　当該出願（後願）に係る発明が、日前の出願の願書に最初に添付した明細書、特許請求の範囲若しくは実用新案登録請求の範囲又は図面（日前の出願が外国語書面出願の場合は外国語書面）に記載された発明又は考案と同一であること
④　発明者又は考案者が同一でないこと
⑤　当該出願（後願）の出願時にその出願人と日前の出願の出願人とが同一のものでないこと</x:v>
      </x:c>
      <x:c r="I11" s="22" t="str">
        <x:v>特２９条の２、特４９条２号</x:v>
      </x:c>
      <x:c r="J11" s="22" t="str"/>
      <x:c r="K11" s="22" t="str">
        <x:v>令和2年度短答（TAC過去問）／【特許・実用新案】4 （ハ）／スライド17-18</x:v>
      </x:c>
      <x:c r="L11" s="22" t="n">
        <x:v>0</x:v>
      </x:c>
      <x:c r="M11" s="22" t="n">
        <x:v>0</x:v>
      </x:c>
      <x:c r="N11" s="23" t="str">
        <x:f>IF(SUM(L11:M11)=0,"",L11/SUM(L11:M11))</x:f>
      </x:c>
      <x:c r="O11" s="22" t="str">
        <x:f>IF(SUM(L11:M11)=0,"NEW",IF(N11&gt;=0.9,"A",IF(N11&gt;=0.75,"B",IF(N11&gt;=0.5,"C","D"))))</x:f>
        <x:v>NEW</x:v>
      </x:c>
      <x:c r="P11" s="22" t="n">
        <x:v>0</x:v>
      </x:c>
      <x:c r="Q11" s="24"/>
      <x:c r="R11" s="24"/>
      <x:c r="S11" s="22" t="str">
        <x:v>原問：特許法第２９条の２（いわゆる拡大された範囲の先願）及び第３９条（先願）に関し、次の（イ）～（ホ）のうち、正しいものは、いくつあるか。　
ただし、特に文中に示した場合を除いて、特許出願は、外国語書面出願、国際出願に係る特許出願、特許出願の分割に係る新たな特許出願、出願の変更に係る特許出願又は実用新案登録に基づく特許出願ではなく、取下げ、放棄又は却下されておらず、査定又は審決が確定しておらず、いかなる補正もされておらず、いかなる優先権の主張も伴わないものとする。　
なお、特に文中に示した場合を除いて、発明については、いずれも出願人が自らした発明とする。</x:v>
      </x:c>
    </x:row>
    <x:row r="12">
      <x:c r="A12" s="22" t="str">
        <x:v>R02-PU04-ホ</x:v>
      </x:c>
      <x:c r="B12" s="22" t="str">
        <x:v>特許・実用新案</x:v>
      </x:c>
      <x:c r="C12" s="22" t="str">
        <x:v>特許法第２９条の２（いわゆる拡大された範囲の先願）及び第３９条（先願）</x:v>
      </x:c>
      <x:c r="D12" s="22" t="str">
        <x:v>特許法第２９条の２（いわゆる拡大された範囲の先願）及び第３９条（先願）／（ホ）</x:v>
      </x:c>
      <x:c r="E12" s="22" t="str">
        <x:v>○×</x:v>
      </x:c>
      <x:c r="F12" s="22" t="str">
        <x:v>甲は、特許請求の範囲に発明イが記載され、明細書に発明イと発明ロが記載された特許出願Ａを出願した。その後、出願Ａは、特許をすべき旨の査定がされ、出願公開されることなく、特許掲載公報が発行された。乙は、出願Ａの出願の日からその特許掲載公報発行の日までの間に、特許請求の範囲に発明ロが記載された特許出願Ｂをした。
この場合、出願Ｂは、出願Ａがいわゆる拡大された範囲の先願であることを理由として拒絶されることがある。
【共通条件】ただし、特に文中に示した場合を除いて、特許出願は、外国語書面出願、国際出願に係る特許出願、特許出願の分割に係る新たな特許出願、出願の変更に係る特許出願又は実用新案登録に基づく特許出願ではなく、取下げ、放棄又は却下されておらず、査定又は審決が確定しておらず、いかなる補正もされておらず、いかなる優先権の主張も伴わないものとする。
なお、特に文中に示した場合を除いて、発明については、いずれも出願人が自らした発明とする。</x:v>
      </x:c>
      <x:c r="G12" s="22" t="str">
        <x:v>○</x:v>
      </x:c>
      <x:c r="H12" s="22" t="str">
        <x:v>特２９条の２は、後願の出願後に①特許掲載公報の発行、②出願公開がされた先願の願書に最初に添付した明細書等に記載されている発明と同一発明についての後願は拒絶される旨を規定している。後願Ｂの発明ロは、Ｂの出願後に特許掲載公報の発行がされた先願Ａの願書に最初に添付した明細書等に記載されている発明と同一であり、発明者及び出願人は異なる（同かっこ書、ただし書）。したがって、出願Ｂは出願Ａの存在を理由に特２９条の２の規定により拒絶されることがある（特４９条２号）。よって、本枝は正しい。
※「出願公開されることなく」との文言に惑わされない。</x:v>
      </x:c>
      <x:c r="I12" s="22" t="str">
        <x:v>特２９条の２、特４９条２号</x:v>
      </x:c>
      <x:c r="J12" s="22" t="str"/>
      <x:c r="K12" s="22" t="str">
        <x:v>令和2年度短答（TAC過去問）／【特許・実用新案】4 （ホ）／スライド19-20</x:v>
      </x:c>
      <x:c r="L12" s="22" t="n">
        <x:v>0</x:v>
      </x:c>
      <x:c r="M12" s="22" t="n">
        <x:v>0</x:v>
      </x:c>
      <x:c r="N12" s="23" t="str">
        <x:f>IF(SUM(L12:M12)=0,"",L12/SUM(L12:M12))</x:f>
      </x:c>
      <x:c r="O12" s="22" t="str">
        <x:f>IF(SUM(L12:M12)=0,"NEW",IF(N12&gt;=0.9,"A",IF(N12&gt;=0.75,"B",IF(N12&gt;=0.5,"C","D"))))</x:f>
        <x:v>NEW</x:v>
      </x:c>
      <x:c r="P12" s="22" t="n">
        <x:v>0</x:v>
      </x:c>
      <x:c r="Q12" s="24"/>
      <x:c r="R12" s="24"/>
      <x:c r="S12" s="22" t="str">
        <x:v>原問：特許法第２９条の２（いわゆる拡大された範囲の先願）及び第３９条（先願）に関し、次の（イ）～（ホ）のうち、正しいものは、いくつあるか。　
ただし、特に文中に示した場合を除いて、特許出願は、外国語書面出願、国際出願に係る特許出願、特許出願の分割に係る新たな特許出願、出願の変更に係る特許出願又は実用新案登録に基づく特許出願ではなく、取下げ、放棄又は却下されておらず、査定又は審決が確定しておらず、いかなる補正もされておらず、いかなる優先権の主張も伴わないものとする。　
なお、特に文中に示した場合を除いて、発明については、いずれも出願人が自らした発明とする。</x:v>
      </x:c>
    </x:row>
    <x:row r="13">
      <x:c r="A13" s="22" t="str">
        <x:v>R02-PU05-イ</x:v>
      </x:c>
      <x:c r="B13" s="22" t="str">
        <x:v>特許・実用新案</x:v>
      </x:c>
      <x:c r="C13" s="22" t="str">
        <x:v>特許法に規定する再審</x:v>
      </x:c>
      <x:c r="D13" s="22" t="str">
        <x:v>特許法に規定する再審／（イ）</x:v>
      </x:c>
      <x:c r="E13" s="22" t="str">
        <x:v>○×</x:v>
      </x:c>
      <x:c r="F13" s="22" t="str">
        <x:v>確定した取消決定に対する再審において、審判長は、当事者及び参加人を審尋することができる。</x:v>
      </x:c>
      <x:c r="G13" s="22" t="str">
        <x:v>○</x:v>
      </x:c>
      <x:c r="H13" s="22" t="str">
        <x:v>審判長は、審判に関し、当事者及び参加人を審尋することができる（特１３４条４項）。この規定は、特許異議の申立てについての審理及び決定に準用され（特１２０条の８第１項）、確定した取消決定に対する再審において準用されている（特１７４条１項で準用する特１２０条の８）。再審は確定審決の効力を争う非常の不服申立方法であるため、判断範囲は再審事由に限定されるが、その判断に至る手続きは、審判・異議申立ての審理の規定を広く準用している。そして、当事者や参加人の言い分を聴いて事実関係を明らかにする必要性は、通常の審判・異議申立てと変わりはなく、むしろ、いったん確定した処分を覆す手続だからこそ、当事者の主張を丁寧に確認する必要がある。よって、本枝は正しい。</x:v>
      </x:c>
      <x:c r="I13" s="22" t="str">
        <x:v>特１３４条４項、特１２０条の８第１項、特１７４条１項、特１２０条の８</x:v>
      </x:c>
      <x:c r="J13" s="22" t="str"/>
      <x:c r="K13" s="22" t="str">
        <x:v>令和2年度短答（TAC過去問）／【特許・実用新案】5 （イ）／スライド21</x:v>
      </x:c>
      <x:c r="L13" s="22" t="n">
        <x:v>0</x:v>
      </x:c>
      <x:c r="M13" s="22" t="n">
        <x:v>0</x:v>
      </x:c>
      <x:c r="N13" s="23" t="str">
        <x:f>IF(SUM(L13:M13)=0,"",L13/SUM(L13:M13))</x:f>
      </x:c>
      <x:c r="O13" s="22" t="str">
        <x:f>IF(SUM(L13:M13)=0,"NEW",IF(N13&gt;=0.9,"A",IF(N13&gt;=0.75,"B",IF(N13&gt;=0.5,"C","D"))))</x:f>
        <x:v>NEW</x:v>
      </x:c>
      <x:c r="P13" s="22" t="n">
        <x:v>0</x:v>
      </x:c>
      <x:c r="Q13" s="24"/>
      <x:c r="R13" s="24"/>
      <x:c r="S13" s="22" t="str">
        <x:v>原問：特許法に規定する再審に関し、次の（イ）～（ホ）のうち、誤っているものは、いくつあるか。</x:v>
      </x:c>
    </x:row>
    <x:row r="14">
      <x:c r="A14" s="22" t="str">
        <x:v>R02-PU05-ロ</x:v>
      </x:c>
      <x:c r="B14" s="22" t="str">
        <x:v>特許・実用新案</x:v>
      </x:c>
      <x:c r="C14" s="22" t="str">
        <x:v>特許法に規定する再審</x:v>
      </x:c>
      <x:c r="D14" s="22" t="str">
        <x:v>特許法に規定する再審／（ロ）</x:v>
      </x:c>
      <x:c r="E14" s="22" t="str">
        <x:v>○×</x:v>
      </x:c>
      <x:c r="F14" s="22" t="str">
        <x:v>再審を請求する者がその責めに帰することができない理由により再審の請求ができないときは、その理由がなくなった日から１４日（在外者にあっては、２月）以内であっても再審の理由を知った日から６月を超えるとその請求をすることができない。</x:v>
      </x:c>
      <x:c r="G14" s="22" t="str">
        <x:v>×</x:v>
      </x:c>
      <x:c r="H14" s="22" t="str">
        <x:v>再審の請求期間については、①請求人が再審の理由を知った日から３０日（特１７３条１項）、あるいは、②取消決定又は審決が確定した日から３年である（同４項）。
再審の請求をする者がその責めに帰することができない理由により、上記①の期間内にその請求をすることができないときには、その理由がなくなった日から１４日（在外者にあっては、２月）以内で「その期間（再審の理由を知った日から３０日）の経過後６月以内」にその請求をすることができる（特１７３条２項）。再審の請求期間を無制限にしておくことは、法律秩序をいたずらに不安定にするため、本条は再審の請求期間について一定の制限を設けているのである。
したがって、「再審の理由を知った日から６月」ではない。よって、本枝は誤り。</x:v>
      </x:c>
      <x:c r="I14" s="22" t="str">
        <x:v>特１７３条１項、特１７３条２項</x:v>
      </x:c>
      <x:c r="J14" s="22" t="str"/>
      <x:c r="K14" s="22" t="str">
        <x:v>令和2年度短答（TAC過去問）／【特許・実用新案】5 （ロ）／スライド22</x:v>
      </x:c>
      <x:c r="L14" s="22" t="n">
        <x:v>0</x:v>
      </x:c>
      <x:c r="M14" s="22" t="n">
        <x:v>0</x:v>
      </x:c>
      <x:c r="N14" s="23" t="str">
        <x:f>IF(SUM(L14:M14)=0,"",L14/SUM(L14:M14))</x:f>
      </x:c>
      <x:c r="O14" s="22" t="str">
        <x:f>IF(SUM(L14:M14)=0,"NEW",IF(N14&gt;=0.9,"A",IF(N14&gt;=0.75,"B",IF(N14&gt;=0.5,"C","D"))))</x:f>
        <x:v>NEW</x:v>
      </x:c>
      <x:c r="P14" s="22" t="n">
        <x:v>0</x:v>
      </x:c>
      <x:c r="Q14" s="24"/>
      <x:c r="R14" s="24"/>
      <x:c r="S14" s="22" t="str">
        <x:v>原問：特許法に規定する再審に関し、次の（イ）～（ホ）のうち、誤っているものは、いくつあるか。</x:v>
      </x:c>
    </x:row>
    <x:row r="15">
      <x:c r="A15" s="22" t="str">
        <x:v>R02-PU05-ハ</x:v>
      </x:c>
      <x:c r="B15" s="22" t="str">
        <x:v>特許・実用新案</x:v>
      </x:c>
      <x:c r="C15" s="22" t="str">
        <x:v>特許法に規定する再審</x:v>
      </x:c>
      <x:c r="D15" s="22" t="str">
        <x:v>特許法に規定する再審／（ハ）</x:v>
      </x:c>
      <x:c r="E15" s="22" t="str">
        <x:v>○×</x:v>
      </x:c>
      <x:c r="F15" s="22" t="str">
        <x:v>確定した取消決定に対する再審において、２以上の請求項に係る特許の２以上の請求項について再審を請求した場合、当該再審における特許異議の申立てについての決定の確定前であれば、その請求は請求項ごとに取り下げることができる。</x:v>
      </x:c>
      <x:c r="G15" s="22" t="str">
        <x:v>○</x:v>
      </x:c>
      <x:c r="H15" s="22" t="str">
        <x:v>審判の請求は、審決が確定するまでは、取り下げることができる（特１５５条１項）。審判・訴訟に対する当事者の対応の自由度を一層高め、特許紛争の早期解決等を図るために、これまでの審判請求の取下げ時期を弾力化し、審判請求を取り下げることができる時期を「審理終結通知まで」から「審決が確定するまで」とした（青本）。
また、二以上の請求項に係る特許の二以上の請求項について特許無効審判を請求したときは、その請求は、請求ごとに取り下げることができる（同３項）。
特１５５条１項及び３項の規定は、確定した取消決定に対する再審に準用する（特１７４条１項）。
したがって、当該再審における特許異議の申立てについての決定の確定前であれば、その請求は請求項ごとに取り下げることができる。よって、本枝は正しい。
ｃｆ.
なお、異議申立てについては、取消理由の通知後は取り下げることができない（特１２０条の４第１項）。</x:v>
      </x:c>
      <x:c r="I15" s="22" t="str">
        <x:v>特１５５条１項、特１７４条１項、特１２０条の４第１項</x:v>
      </x:c>
      <x:c r="J15" s="22" t="str"/>
      <x:c r="K15" s="22" t="str">
        <x:v>令和2年度短答（TAC過去問）／【特許・実用新案】5 （ハ）／スライド24-25</x:v>
      </x:c>
      <x:c r="L15" s="22" t="n">
        <x:v>0</x:v>
      </x:c>
      <x:c r="M15" s="22" t="n">
        <x:v>0</x:v>
      </x:c>
      <x:c r="N15" s="23" t="str">
        <x:f>IF(SUM(L15:M15)=0,"",L15/SUM(L15:M15))</x:f>
      </x:c>
      <x:c r="O15" s="22" t="str">
        <x:f>IF(SUM(L15:M15)=0,"NEW",IF(N15&gt;=0.9,"A",IF(N15&gt;=0.75,"B",IF(N15&gt;=0.5,"C","D"))))</x:f>
        <x:v>NEW</x:v>
      </x:c>
      <x:c r="P15" s="22" t="n">
        <x:v>0</x:v>
      </x:c>
      <x:c r="Q15" s="24"/>
      <x:c r="R15" s="24"/>
      <x:c r="S15" s="22" t="str">
        <x:v>原問：特許法に規定する再審に関し、次の（イ）～（ホ）のうち、誤っているものは、いくつあるか。</x:v>
      </x:c>
    </x:row>
    <x:row r="16">
      <x:c r="A16" s="22" t="str">
        <x:v>R02-PU05-ニ</x:v>
      </x:c>
      <x:c r="B16" s="22" t="str">
        <x:v>特許・実用新案</x:v>
      </x:c>
      <x:c r="C16" s="22" t="str">
        <x:v>特許法に規定する再審</x:v>
      </x:c>
      <x:c r="D16" s="22" t="str">
        <x:v>特許法に規定する再審／（ニ）</x:v>
      </x:c>
      <x:c r="E16" s="22" t="str">
        <x:v>○×</x:v>
      </x:c>
      <x:c r="F16" s="22" t="str">
        <x:v>特許を無効にすべき旨の確定審決に対する再審において、願書に添付した明細書、特許請求の範囲又は図面の訂正の請求が認められる場合がある。</x:v>
      </x:c>
      <x:c r="G16" s="22" t="str">
        <x:v>×</x:v>
      </x:c>
      <x:c r="H16" s="22" t="str">
        <x:v>特許無効審判の確定審決に対する再審では、特１３４条の２（特許無効審判における訂正の請求）の規定は準用していない（特１７４条３項）。
すなわち、再審中に訂正を認めると、訂正の遡及効により、確定無効審決が判断した対象とは異なる内容の特許について、確定審決の当否を判断することになる。再審は確定審決の可否を争う非常の不服申立てであり、審理対象を後から変更するのは妥当でない。このことから、特１７４条３項は特１３４条の２を準用していないのである。
したがって、訂正の請求（特１３４条の２）が認められる場合はない。よって、本枝は誤り。</x:v>
      </x:c>
      <x:c r="I16" s="22" t="str">
        <x:v>特１３４条の２、特１７４条３項</x:v>
      </x:c>
      <x:c r="J16" s="22" t="str"/>
      <x:c r="K16" s="22" t="str">
        <x:v>令和2年度短答（TAC過去問）／【特許・実用新案】5 （ニ）／スライド26</x:v>
      </x:c>
      <x:c r="L16" s="22" t="n">
        <x:v>0</x:v>
      </x:c>
      <x:c r="M16" s="22" t="n">
        <x:v>0</x:v>
      </x:c>
      <x:c r="N16" s="23" t="str">
        <x:f>IF(SUM(L16:M16)=0,"",L16/SUM(L16:M16))</x:f>
      </x:c>
      <x:c r="O16" s="22" t="str">
        <x:f>IF(SUM(L16:M16)=0,"NEW",IF(N16&gt;=0.9,"A",IF(N16&gt;=0.75,"B",IF(N16&gt;=0.5,"C","D"))))</x:f>
        <x:v>NEW</x:v>
      </x:c>
      <x:c r="P16" s="22" t="n">
        <x:v>0</x:v>
      </x:c>
      <x:c r="Q16" s="24"/>
      <x:c r="R16" s="24"/>
      <x:c r="S16" s="22" t="str">
        <x:v>原問：特許法に規定する再審に関し、次の（イ）～（ホ）のうち、誤っているものは、いくつあるか。</x:v>
      </x:c>
    </x:row>
    <x:row r="17">
      <x:c r="A17" s="22" t="str">
        <x:v>R02-PU05-ホ</x:v>
      </x:c>
      <x:c r="B17" s="22" t="str">
        <x:v>特許・実用新案</x:v>
      </x:c>
      <x:c r="C17" s="22" t="str">
        <x:v>特許法に規定する再審</x:v>
      </x:c>
      <x:c r="D17" s="22" t="str">
        <x:v>特許法に規定する再審／（ホ）</x:v>
      </x:c>
      <x:c r="E17" s="22" t="str">
        <x:v>○×</x:v>
      </x:c>
      <x:c r="F17" s="22" t="str">
        <x:v>特許を無効にすべき旨の審決が確定し、その後再審によって特許権が回復した場合、第三者が善意でその特許に係る発明を業として実施しているときは、その特許を無効にすべき旨の審決が確定してから再審によって回復するまでの期間における実施が侵害となることはない。</x:v>
      </x:c>
      <x:c r="G17" s="22" t="str">
        <x:v>×</x:v>
      </x:c>
      <x:c r="H17" s="22" t="str">
        <x:v>無効にした特許に係る特許権が再審により回復したときは、特許権の効力は、当該審決が確定した後「再審の請求の登録前」における、当該発明の善意の実施には及ばない（特１７５条２項１号）。
したがって、「再審の請求の登録後」の実施については、侵害となる場合がある。よって、本枝は誤り。</x:v>
      </x:c>
      <x:c r="I17" s="22" t="str">
        <x:v>特１７５条２項１号</x:v>
      </x:c>
      <x:c r="J17" s="22" t="str"/>
      <x:c r="K17" s="22" t="str">
        <x:v>令和2年度短答（TAC過去問）／【特許・実用新案】5 （ホ）／スライド27</x:v>
      </x:c>
      <x:c r="L17" s="22" t="n">
        <x:v>0</x:v>
      </x:c>
      <x:c r="M17" s="22" t="n">
        <x:v>0</x:v>
      </x:c>
      <x:c r="N17" s="23" t="str">
        <x:f>IF(SUM(L17:M17)=0,"",L17/SUM(L17:M17))</x:f>
      </x:c>
      <x:c r="O17" s="22" t="str">
        <x:f>IF(SUM(L17:M17)=0,"NEW",IF(N17&gt;=0.9,"A",IF(N17&gt;=0.75,"B",IF(N17&gt;=0.5,"C","D"))))</x:f>
        <x:v>NEW</x:v>
      </x:c>
      <x:c r="P17" s="22" t="n">
        <x:v>0</x:v>
      </x:c>
      <x:c r="Q17" s="24"/>
      <x:c r="R17" s="24"/>
      <x:c r="S17" s="22" t="str">
        <x:v>原問：特許法に規定する再審に関し、次の（イ）～（ホ）のうち、誤っているものは、いくつあるか。</x:v>
      </x:c>
    </x:row>
    <x:row r="18">
      <x:c r="A18" s="22" t="str">
        <x:v>R02-PU06-1</x:v>
      </x:c>
      <x:c r="B18" s="22" t="str">
        <x:v>特許・実用新案</x:v>
      </x:c>
      <x:c r="C18" s="22" t="str">
        <x:v>特許出願及び実用新案登録出願等の分割・変更</x:v>
      </x:c>
      <x:c r="D18" s="22" t="str">
        <x:v>特許出願及び実用新案登録出願等の分割・変更／1</x:v>
      </x:c>
      <x:c r="E18" s="22" t="str">
        <x:v>○×</x:v>
      </x:c>
      <x:c r="F18" s="22" t="str">
        <x:v>特許出願について特許をすべき旨の査定がされた場合、その謄本の送達があった日から３０日以内であって、特許料の納付と同時又は納付した後でなければ、特許出願人は、その特許出願の一部を分割して新たな特許出願とすることはできない。</x:v>
      </x:c>
      <x:c r="G18" s="22" t="str">
        <x:v>×</x:v>
      </x:c>
      <x:c r="H18" s="22" t="str">
        <x:v>特許出願人は、特許をすべき旨の査定の謄本の送達があった日から３０日以内に、二以上の発明を包含する特許出願の一部を一又は二以上の新たな特許出願とすることができる（特４４条１項２号）。
しかし、特許査定の謄本の送達日から３０日以内であっても、特許権の設定登録がなされた後は、特許出願が侍許庁に係属しなくなるため、特許出頴を分割することはできない（特実審査基準第Ⅵ部第１章第１節２．１．２）。したがって、特許料の納付により特許権の設定の登録がされることから（特６６条２項）、その後の分割はできない。よって、本枝は誤り。</x:v>
      </x:c>
      <x:c r="I18" s="22" t="str">
        <x:v>特４４条１項２号、特６６条２項</x:v>
      </x:c>
      <x:c r="J18" s="22" t="str"/>
      <x:c r="K18" s="22" t="str">
        <x:v>令和2年度短答（TAC過去問）／【特許・実用新案】6 1／スライド28</x:v>
      </x:c>
      <x:c r="L18" s="22" t="n">
        <x:v>0</x:v>
      </x:c>
      <x:c r="M18" s="22" t="n">
        <x:v>0</x:v>
      </x:c>
      <x:c r="N18" s="23" t="str">
        <x:f>IF(SUM(L18:M18)=0,"",L18/SUM(L18:M18))</x:f>
      </x:c>
      <x:c r="O18" s="22" t="str">
        <x:f>IF(SUM(L18:M18)=0,"NEW",IF(N18&gt;=0.9,"A",IF(N18&gt;=0.75,"B",IF(N18&gt;=0.5,"C","D"))))</x:f>
        <x:v>NEW</x:v>
      </x:c>
      <x:c r="P18" s="22" t="n">
        <x:v>0</x:v>
      </x:c>
      <x:c r="Q18" s="24"/>
      <x:c r="R18" s="24"/>
      <x:c r="S18" s="22" t="str">
        <x:v>原問：特許出願及び実用新案登録出願等の分割・変更に関し、次のうち、正しいものは、どれか。（ただし書省略）</x:v>
      </x:c>
    </x:row>
    <x:row r="19">
      <x:c r="A19" s="22" t="str">
        <x:v>R02-PU06-2</x:v>
      </x:c>
      <x:c r="B19" s="22" t="str">
        <x:v>特許・実用新案</x:v>
      </x:c>
      <x:c r="C19" s="22" t="str">
        <x:v>特許出願及び実用新案登録出願等の分割・変更</x:v>
      </x:c>
      <x:c r="D19" s="22" t="str">
        <x:v>特許出願及び実用新案登録出願等の分割・変更／2</x:v>
      </x:c>
      <x:c r="E19" s="22" t="str">
        <x:v>○×</x:v>
      </x:c>
      <x:c r="F19" s="22" t="str">
        <x:v>甲は、実用新案登録請求の範囲に請求項１に考案イ、請求項２に考案ロを記載した実用新案登録出願をし、実用新案登録された。その後、甲が、請求項２に対して実用新案技術評価の請求をし、その評価書の内容を確認してから、請求項２を削除する訂正を適法に行った場合、甲は、この実用新案登録に基づいて特許出願をすることができる。</x:v>
      </x:c>
      <x:c r="G19" s="22" t="str">
        <x:v>×</x:v>
      </x:c>
      <x:c r="H19" s="22" t="str">
        <x:v>実用新案権者は、実用新案技術評価（実１２条１項）の請求があったときは、実用新案登録に基づく特許出願をすることはできない（特４６条の２第１項２号）。二重の審査を防止するためである。
なお、特４６条の２第１項の規定は請求項ごとに実用新案登録又は実用新案権があるものとみなされるものではなく（実５０条の２）、出願人又は権利者による評価の請求後は、評価の請求がされていない請求項に係るものに基づく場合であっても、特許出願をすることはできない（青本特４６条の２）。よって、本枝は誤り。</x:v>
      </x:c>
      <x:c r="I19" s="22" t="str">
        <x:v>実１２条１項、特４６条の２第１項２号、特４６条の２第１項、実５０条の２、特４６条の２</x:v>
      </x:c>
      <x:c r="J19" s="22" t="str"/>
      <x:c r="K19" s="22" t="str">
        <x:v>令和2年度短答（TAC過去問）／【特許・実用新案】6 2／スライド33</x:v>
      </x:c>
      <x:c r="L19" s="22" t="n">
        <x:v>0</x:v>
      </x:c>
      <x:c r="M19" s="22" t="n">
        <x:v>0</x:v>
      </x:c>
      <x:c r="N19" s="23" t="str">
        <x:f>IF(SUM(L19:M19)=0,"",L19/SUM(L19:M19))</x:f>
      </x:c>
      <x:c r="O19" s="22" t="str">
        <x:f>IF(SUM(L19:M19)=0,"NEW",IF(N19&gt;=0.9,"A",IF(N19&gt;=0.75,"B",IF(N19&gt;=0.5,"C","D"))))</x:f>
        <x:v>NEW</x:v>
      </x:c>
      <x:c r="P19" s="22" t="n">
        <x:v>0</x:v>
      </x:c>
      <x:c r="Q19" s="24"/>
      <x:c r="R19" s="24"/>
      <x:c r="S19" s="22" t="str">
        <x:v>原問：特許出願及び実用新案登録出願等の分割・変更に関し、次のうち、正しいものは、どれか。（ただし書省略）</x:v>
      </x:c>
    </x:row>
    <x:row r="20">
      <x:c r="A20" s="22" t="str">
        <x:v>R02-PU06-3</x:v>
      </x:c>
      <x:c r="B20" s="22" t="str">
        <x:v>特許・実用新案</x:v>
      </x:c>
      <x:c r="C20" s="22" t="str">
        <x:v>特許出願及び実用新案登録出願等の分割・変更</x:v>
      </x:c>
      <x:c r="D20" s="22" t="str">
        <x:v>特許出願及び実用新案登録出願等の分割・変更／3</x:v>
      </x:c>
      <x:c r="E20" s="22" t="str">
        <x:v>○×</x:v>
      </x:c>
      <x:c r="F20" s="22" t="str">
        <x:v>意匠登録出願人は、その意匠登録出願に仮通常実施権を有する者があるとき、その仮通常実施権者の承諾を得なければ、その意匠登録出願を特許出願に変更することはできない。</x:v>
      </x:c>
      <x:c r="G20" s="22" t="str">
        <x:v>×</x:v>
      </x:c>
      <x:c r="H20" s="22" t="str">
        <x:v>意匠登録出願人は、その意匠登録出願を特許出願に変更することができる（特４６条２項）。仮通常実施権者（意５条の２第１項）の承諾は必要とされていない。
なお、出願の変更の際に仮通常実施権者の承諾が不要とされたことに伴い、仮通常実施権者の実施の継続を確保するための承諾に代わる措置として、当該出願の変更に係る特許出願に係る特許を受ける権利に基づいて取得すべき特許権について、当該仮通常実施権の設定行為で定めた範囲内において、仮通常実施権が許諾されたものとみなされる（特３４条の３第９項）。よって、本枝は誤り。</x:v>
      </x:c>
      <x:c r="I20" s="22" t="str">
        <x:v>特４６条２項、意５条の２第１項、特３４条の３第９項</x:v>
      </x:c>
      <x:c r="J20" s="22" t="str"/>
      <x:c r="K20" s="22" t="str">
        <x:v>令和2年度短答（TAC過去問）／【特許・実用新案】6 3／スライド34</x:v>
      </x:c>
      <x:c r="L20" s="22" t="n">
        <x:v>0</x:v>
      </x:c>
      <x:c r="M20" s="22" t="n">
        <x:v>0</x:v>
      </x:c>
      <x:c r="N20" s="23" t="str">
        <x:f>IF(SUM(L20:M20)=0,"",L20/SUM(L20:M20))</x:f>
      </x:c>
      <x:c r="O20" s="22" t="str">
        <x:f>IF(SUM(L20:M20)=0,"NEW",IF(N20&gt;=0.9,"A",IF(N20&gt;=0.75,"B",IF(N20&gt;=0.5,"C","D"))))</x:f>
        <x:v>NEW</x:v>
      </x:c>
      <x:c r="P20" s="22" t="n">
        <x:v>0</x:v>
      </x:c>
      <x:c r="Q20" s="24"/>
      <x:c r="R20" s="24"/>
      <x:c r="S20" s="22" t="str">
        <x:v>原問：特許出願及び実用新案登録出願等の分割・変更に関し、次のうち、正しいものは、どれか。（ただし書省略）</x:v>
      </x:c>
    </x:row>
    <x:row r="21">
      <x:c r="A21" s="22" t="str">
        <x:v>R02-PU06-4</x:v>
      </x:c>
      <x:c r="B21" s="22" t="str">
        <x:v>特許・実用新案</x:v>
      </x:c>
      <x:c r="C21" s="22" t="str">
        <x:v>特許出願及び実用新案登録出願等の分割・変更</x:v>
      </x:c>
      <x:c r="D21" s="22" t="str">
        <x:v>特許出願及び実用新案登録出願等の分割・変更／4</x:v>
      </x:c>
      <x:c r="E21" s="22" t="str">
        <x:v>○×</x:v>
      </x:c>
      <x:c r="F21" s="22" t="str">
        <x:v>パリ条約の同盟国の国民である甲は、パリ条約の同盟国である国Ｘにおいて最初の特許出願Ａをした後、出願Ａを基礎としてパリ優先権の主張を伴う特許出願Ｂを日本国にし、出願Ｂの手続において、特許法第４３条第１項に規定する書面（以下「優先権主張書面」という。）及び同条第２項に規定する書類（以下「優先権証明書」という。）を特許庁長官に提出した。その後、甲が、この出願Ｂの一部を分割して新たな特許出願Ｃとするとともに、この出願Ｃに係る発明について、出願Ａを基礎としたパリ優先権を主張するには、出願Ｃの手続において、特許庁長官に、優先権証明書を提出する必要はないが、優先権主張書面については提出しなければならない。</x:v>
      </x:c>
      <x:c r="G21" s="22" t="str">
        <x:v>×</x:v>
      </x:c>
      <x:c r="H21" s="22" t="str">
        <x:v>パリ条約による優先権の主張を伴う日本出願Ｂの分割出願Ｃについては、もとの特許出願Ｂについて提出された書面又は書類は、新たな特許出願と同時に特許庁長官に提出されたものとみなされる（特実審査基準第Ｖ部第１章５．１）。
したがって、甲は、出願Ｃの手続において、特許庁長官に、「優先権主張書面」及び「優先権証明書類等」を提出する必要はない（特４４条４項）。よって、本枝は誤り。</x:v>
      </x:c>
      <x:c r="I21" s="22" t="str">
        <x:v>特４４条４項</x:v>
      </x:c>
      <x:c r="J21" s="22" t="str"/>
      <x:c r="K21" s="22" t="str">
        <x:v>令和2年度短答（TAC過去問）／【特許・実用新案】6 4／スライド35</x:v>
      </x:c>
      <x:c r="L21" s="22" t="n">
        <x:v>0</x:v>
      </x:c>
      <x:c r="M21" s="22" t="n">
        <x:v>0</x:v>
      </x:c>
      <x:c r="N21" s="23" t="str">
        <x:f>IF(SUM(L21:M21)=0,"",L21/SUM(L21:M21))</x:f>
      </x:c>
      <x:c r="O21" s="22" t="str">
        <x:f>IF(SUM(L21:M21)=0,"NEW",IF(N21&gt;=0.9,"A",IF(N21&gt;=0.75,"B",IF(N21&gt;=0.5,"C","D"))))</x:f>
        <x:v>NEW</x:v>
      </x:c>
      <x:c r="P21" s="22" t="n">
        <x:v>0</x:v>
      </x:c>
      <x:c r="Q21" s="24"/>
      <x:c r="R21" s="24"/>
      <x:c r="S21" s="22" t="str">
        <x:v>原問：特許出願及び実用新案登録出願等の分割・変更に関し、次のうち、正しいものは、どれか。（ただし書省略）</x:v>
      </x:c>
    </x:row>
    <x:row r="22">
      <x:c r="A22" s="22" t="str">
        <x:v>R02-PU06-5</x:v>
      </x:c>
      <x:c r="B22" s="22" t="str">
        <x:v>特許・実用新案</x:v>
      </x:c>
      <x:c r="C22" s="22" t="str">
        <x:v>特許出願及び実用新案登録出願等の分割・変更</x:v>
      </x:c>
      <x:c r="D22" s="22" t="str">
        <x:v>特許出願及び実用新案登録出願等の分割・変更／5</x:v>
      </x:c>
      <x:c r="E22" s="22" t="str">
        <x:v>○×</x:v>
      </x:c>
      <x:c r="F22" s="22" t="str">
        <x:v>実用新案登録出願から変更された特許出願の実用新案登録出願への変更は、禁止されていないが、実用新案登録に基づく特許出願から変更された意匠登録出願を実用新案登録出願へ変更することは、禁止されている。</x:v>
      </x:c>
      <x:c r="G22" s="22" t="str">
        <x:v>○</x:v>
      </x:c>
      <x:c r="H22" s="22" t="str">
        <x:v>パリ条約による優先権の主張を伴う日本出願Ｂの分割出願Ｃについては、もとの特許出願Ｂについて提出された書面又は書類は、新たな特許出願と同時に特許庁長官に提出されたものとみなされる（特実審査基準第Ｖ部第１章５．１）。
したがって、甲は、出願Ｃの手続において、特許庁長官に、「優先権主張書面」及び「優先権証明書類等」を提出する必要はない（特４４条４項）。よって、本枝は誤り。</x:v>
      </x:c>
      <x:c r="I22" s="22" t="str">
        <x:v>特４４条４項</x:v>
      </x:c>
      <x:c r="J22" s="22" t="str"/>
      <x:c r="K22" s="22" t="str">
        <x:v>令和2年度短答（TAC過去問）／【特許・実用新案】6 5／スライド36</x:v>
      </x:c>
      <x:c r="L22" s="22" t="n">
        <x:v>0</x:v>
      </x:c>
      <x:c r="M22" s="22" t="n">
        <x:v>0</x:v>
      </x:c>
      <x:c r="N22" s="23" t="str">
        <x:f>IF(SUM(L22:M22)=0,"",L22/SUM(L22:M22))</x:f>
      </x:c>
      <x:c r="O22" s="22" t="str">
        <x:f>IF(SUM(L22:M22)=0,"NEW",IF(N22&gt;=0.9,"A",IF(N22&gt;=0.75,"B",IF(N22&gt;=0.5,"C","D"))))</x:f>
        <x:v>NEW</x:v>
      </x:c>
      <x:c r="P22" s="22" t="n">
        <x:v>0</x:v>
      </x:c>
      <x:c r="Q22" s="24"/>
      <x:c r="R22" s="24"/>
      <x:c r="S22" s="22" t="str">
        <x:v>原問：特許出願及び実用新案登録出願等の分割・変更に関し、次のうち、正しいものは、どれか。（ただし書省略）</x:v>
      </x:c>
    </x:row>
    <x:row r="23">
      <x:c r="A23" s="22" t="str">
        <x:v>R02-PU07-4</x:v>
      </x:c>
      <x:c r="B23" s="22" t="str">
        <x:v>特許・実用新案</x:v>
      </x:c>
      <x:c r="C23" s="22" t="str">
        <x:v>特許権に関連する訴訟</x:v>
      </x:c>
      <x:c r="D23" s="22" t="str">
        <x:v>特許権に関連する訴訟／4</x:v>
      </x:c>
      <x:c r="E23" s="22" t="str">
        <x:v>○×</x:v>
      </x:c>
      <x:c r="F23" s="22" t="str">
        <x:v>在外者の特許権に関する特許無効審判において、特許を無効とすべき旨の審決をする場合、当該在外者が代理権の範囲の制限のない特許管理人を有するときでも、審判長は、出訴期間について、附加期間を定めることができる。</x:v>
      </x:c>
      <x:c r="G23" s="22" t="str">
        <x:v>○</x:v>
      </x:c>
      <x:c r="H23" s="22" t="str">
        <x:v>審判長は、遠隔又は交通不便の地にある者のため、不変期間（特１７８条４項）について、職権で、附加期間を定めることができる（特１７８条５項）。ここで、「外国は全て還隔の地でよむこと」とされており（青本特４条）、在外者（８１項）に、遠隔の地にある者である。また、在外者の場合には、附加期間が定められるのが通例である（中山「注解特許法」）。よって、本枝は正しい。</x:v>
      </x:c>
      <x:c r="I23" s="22" t="str">
        <x:v>特１７８条４項、特１７８条５項、特４条</x:v>
      </x:c>
      <x:c r="J23" s="22" t="str"/>
      <x:c r="K23" s="22" t="str">
        <x:v>令和2年度短答（TAC過去問）／【特許・実用新案】7 4／スライド40</x:v>
      </x:c>
      <x:c r="L23" s="22" t="n">
        <x:v>0</x:v>
      </x:c>
      <x:c r="M23" s="22" t="n">
        <x:v>0</x:v>
      </x:c>
      <x:c r="N23" s="23" t="str">
        <x:f>IF(SUM(L23:M23)=0,"",L23/SUM(L23:M23))</x:f>
      </x:c>
      <x:c r="O23" s="22" t="str">
        <x:f>IF(SUM(L23:M23)=0,"NEW",IF(N23&gt;=0.9,"A",IF(N23&gt;=0.75,"B",IF(N23&gt;=0.5,"C","D"))))</x:f>
        <x:v>NEW</x:v>
      </x:c>
      <x:c r="P23" s="22" t="n">
        <x:v>0</x:v>
      </x:c>
      <x:c r="Q23" s="24"/>
      <x:c r="R23" s="24"/>
      <x:c r="S23" s="22" t="str">
        <x:v>原問：特許権に関連する訴訟に関し、次のうち、正しいものは、どれか。</x:v>
      </x:c>
    </x:row>
    <x:row r="24">
      <x:c r="A24" s="22" t="str">
        <x:v>R02-PU07-5</x:v>
      </x:c>
      <x:c r="B24" s="22" t="str">
        <x:v>特許・実用新案</x:v>
      </x:c>
      <x:c r="C24" s="22" t="str">
        <x:v>特許権に関連する訴訟</x:v>
      </x:c>
      <x:c r="D24" s="22" t="str">
        <x:v>特許権に関連する訴訟／5</x:v>
      </x:c>
      <x:c r="E24" s="22" t="str">
        <x:v>○×</x:v>
      </x:c>
      <x:c r="F24" s="22" t="str">
        <x:v>特許庁長官は、特許無効審判の審決に対する取消訴訟について、裁判所から、当該事件に関する特許法の適用について意見を求められたときは、自ら又は特許庁の職員を代理人として意見を述べなければならない。</x:v>
      </x:c>
      <x:c r="G24" s="22" t="str">
        <x:v>×</x:v>
      </x:c>
      <x:c r="H24" s="22" t="str">
        <x:v>当事者系の特許無効審判及び延長登録無効審判の審決取消訴訟における、求意見（特１８０条の２第１項）又は意見陳述（同２項）については、裁判所又は特許庁長官の義務ではなく裁量である（青本）。したがって、特許庁長官は、「意見を述べることができる」のであって「意見を述べなければならない」ということではない（特１８０条の２項・３項）。よって、本枝は誤り。</x:v>
      </x:c>
      <x:c r="I24" s="22" t="str">
        <x:v>特１８０条の２第１項、特１８０条の２</x:v>
      </x:c>
      <x:c r="J24" s="22" t="str"/>
      <x:c r="K24" s="22" t="str">
        <x:v>令和2年度短答（TAC過去問）／【特許・実用新案】7 5／スライド41</x:v>
      </x:c>
      <x:c r="L24" s="22" t="n">
        <x:v>0</x:v>
      </x:c>
      <x:c r="M24" s="22" t="n">
        <x:v>0</x:v>
      </x:c>
      <x:c r="N24" s="23" t="str">
        <x:f>IF(SUM(L24:M24)=0,"",L24/SUM(L24:M24))</x:f>
      </x:c>
      <x:c r="O24" s="22" t="str">
        <x:f>IF(SUM(L24:M24)=0,"NEW",IF(N24&gt;=0.9,"A",IF(N24&gt;=0.75,"B",IF(N24&gt;=0.5,"C","D"))))</x:f>
        <x:v>NEW</x:v>
      </x:c>
      <x:c r="P24" s="22" t="n">
        <x:v>0</x:v>
      </x:c>
      <x:c r="Q24" s="24"/>
      <x:c r="R24" s="24"/>
      <x:c r="S24" s="22" t="str">
        <x:v>原問：特許権に関連する訴訟に関し、次のうち、正しいものは、どれか。</x:v>
      </x:c>
    </x:row>
    <x:row r="25">
      <x:c r="A25" s="22" t="str">
        <x:v>R02-PU08-イ</x:v>
      </x:c>
      <x:c r="B25" s="22" t="str">
        <x:v>特許・実用新案</x:v>
      </x:c>
      <x:c r="C25" s="22" t="str">
        <x:v>特許無効審判又は実用新案登録無効審判</x:v>
      </x:c>
      <x:c r="D25" s="22" t="str">
        <x:v>特許無効審判又は実用新案登録無効審判／（イ）</x:v>
      </x:c>
      <x:c r="E25" s="22" t="str">
        <x:v>○×</x:v>
      </x:c>
      <x:c r="F25" s="22" t="str">
        <x:v>審判長は、特許無効審判において、当初の請求書に記載した理由以外の新たな無効理由を追加する補正がなされた場合、当該補正が審理を不当に遅延させるおそれがないことが明らかであると認められ、かつ、特許法第１３４条の２第１項の訂正の請求により請求の理由を補正する必要が生じたと認められるときは、その補正を許可しなければならない。</x:v>
      </x:c>
      <x:c r="G25" s="22" t="str">
        <x:v>×</x:v>
      </x:c>
      <x:c r="H25" s="22" t="str">
        <x:v>審判長は、特許無効審判において、請求の理由（特１３１条１項３号）の補正がその要旨を変更するものである場合において（特１３１条の２第２項）、①当該補正が審理を不当に遅延させるおそれがないことが明らかなものであり（同項柱書）、かつ、②当該特許無効審判において特１３４条の２第１項の訂正の請求があり、その訂正の請求により請求の理由を補正する必要が生じたこと（同項１号）があると認めるときは、決定をもつて、当該補正を「許可することができる」（同項柱書）。審判長が補正を「許可することができる」とするのは、審判長の裁量に服するものであることを明示するためである（青本同項）。したがって、その補正を許可しなければならないわけではない。よって、本枝は誤り。</x:v>
      </x:c>
      <x:c r="I25" s="22" t="str">
        <x:v>特１３１条１項３号、特１３１条の２第２項、特１３４条の２第１項</x:v>
      </x:c>
      <x:c r="J25" s="22" t="str"/>
      <x:c r="K25" s="22" t="str">
        <x:v>令和2年度短答（TAC過去問）／【特許・実用新案】8 （イ）／スライド42</x:v>
      </x:c>
      <x:c r="L25" s="22" t="n">
        <x:v>0</x:v>
      </x:c>
      <x:c r="M25" s="22" t="n">
        <x:v>0</x:v>
      </x:c>
      <x:c r="N25" s="23" t="str">
        <x:f>IF(SUM(L25:M25)=0,"",L25/SUM(L25:M25))</x:f>
      </x:c>
      <x:c r="O25" s="22" t="str">
        <x:f>IF(SUM(L25:M25)=0,"NEW",IF(N25&gt;=0.9,"A",IF(N25&gt;=0.75,"B",IF(N25&gt;=0.5,"C","D"))))</x:f>
        <x:v>NEW</x:v>
      </x:c>
      <x:c r="P25" s="22" t="n">
        <x:v>0</x:v>
      </x:c>
      <x:c r="Q25" s="24"/>
      <x:c r="R25" s="24"/>
      <x:c r="S25" s="22" t="str">
        <x:v>原問：特許無効審判又は実用新案登録無効審判に関し、次の（イ）～（ホ）のうち、誤っているものは、いくつあるか。</x:v>
      </x:c>
    </x:row>
    <x:row r="26">
      <x:c r="A26" s="22" t="str">
        <x:v>R02-PU08-ロ</x:v>
      </x:c>
      <x:c r="B26" s="22" t="str">
        <x:v>特許・実用新案</x:v>
      </x:c>
      <x:c r="C26" s="22" t="str">
        <x:v>特許無効審判又は実用新案登録無効審判</x:v>
      </x:c>
      <x:c r="D26" s="22" t="str">
        <x:v>特許無効審判又は実用新案登録無効審判／（ロ）</x:v>
      </x:c>
      <x:c r="E26" s="22" t="str">
        <x:v>○×</x:v>
      </x:c>
      <x:c r="F26" s="22" t="str">
        <x:v>１つの特許権に対して２つの特許無効審判が請求され、その審理の併合をせず別々に審理を行った場合において、その２つの特許無効審判のうち一方の特許無効審判においてのみ特許法第１３４条の２第１項の訂正の請求がなされたとき、他方の特許無効審判について審理を中止して、当該訂正の請求がなされた特許無効審判の審理を優先することができる。</x:v>
      </x:c>
      <x:c r="G26" s="22" t="str">
        <x:v>○</x:v>
      </x:c>
      <x:c r="H26" s="22" t="str">
        <x:v>審判において必要があると認めるときは、他の審判の審決が確定するまで、その手続を中止することができる（特１６８条１項）。例えば、同一の特許に対して、複数の無効審判が請求されたとき、それらのうちの一つの事件においてのみ訂正の請求がされている場合など、複数の事件の審理を併合することに支障がある湯合には、無理に併合せず、いずれかの事件の審理を優先し、その他の事件を中止する（審判便覧５１－０９）。
したがって、その審理の併合をしない場合には、当該訂正の請求された特許無効審判の審理を優先することができる（特１６８条１項）。よって、本枝は正しい。</x:v>
      </x:c>
      <x:c r="I26" s="22" t="str">
        <x:v>特１６８条１項</x:v>
      </x:c>
      <x:c r="J26" s="22" t="str"/>
      <x:c r="K26" s="22" t="str">
        <x:v>令和2年度短答（TAC過去問）／【特許・実用新案】8 （ロ）／スライド43</x:v>
      </x:c>
      <x:c r="L26" s="22" t="n">
        <x:v>0</x:v>
      </x:c>
      <x:c r="M26" s="22" t="n">
        <x:v>0</x:v>
      </x:c>
      <x:c r="N26" s="23" t="str">
        <x:f>IF(SUM(L26:M26)=0,"",L26/SUM(L26:M26))</x:f>
      </x:c>
      <x:c r="O26" s="22" t="str">
        <x:f>IF(SUM(L26:M26)=0,"NEW",IF(N26&gt;=0.9,"A",IF(N26&gt;=0.75,"B",IF(N26&gt;=0.5,"C","D"))))</x:f>
        <x:v>NEW</x:v>
      </x:c>
      <x:c r="P26" s="22" t="n">
        <x:v>0</x:v>
      </x:c>
      <x:c r="Q26" s="24"/>
      <x:c r="R26" s="24"/>
      <x:c r="S26" s="22" t="str">
        <x:v>原問：特許無効審判又は実用新案登録無効審判に関し、次の（イ）～（ホ）のうち、誤っているものは、いくつあるか。</x:v>
      </x:c>
    </x:row>
    <x:row r="27">
      <x:c r="A27" s="22" t="str">
        <x:v>R02-PU08-ニ</x:v>
      </x:c>
      <x:c r="B27" s="22" t="str">
        <x:v>特許・実用新案</x:v>
      </x:c>
      <x:c r="C27" s="22" t="str">
        <x:v>特許無効審判又は実用新案登録無効審判</x:v>
      </x:c>
      <x:c r="D27" s="22" t="str">
        <x:v>特許無効審判又は実用新案登録無効審判／（ニ）</x:v>
      </x:c>
      <x:c r="E27" s="22" t="str">
        <x:v>○×</x:v>
      </x:c>
      <x:c r="F27" s="22" t="str">
        <x:v>特許法第３８条（共同出願）の規定に違反した出願に係る特許権について、特許法第７４条第１項（特許権の移転の特例）の規定による請求に基づく特許権の移転の登録がなされることにより、特許を受ける権利の共有者全員が当該特許権を共有することとなったときには、共同出願違反の無効理由には該当しない。</x:v>
      </x:c>
      <x:c r="G27" s="22" t="str">
        <x:v>○</x:v>
      </x:c>
      <x:c r="H27" s="22" t="str">
        <x:v>その特許が特３８条（共同出願）に違反してされた場合にあっては、特７４条１項の規定による請求（特許権の移転請求権）に基づき、その特許に係る特許権の移転の登録があったときは、共同出願違反の無効理由には該当しないことになる（特１２３条１項２号かっこ書）。よって本枝は正しい。</x:v>
      </x:c>
      <x:c r="I27" s="22" t="str">
        <x:v>特３８条、特７４条１項、特１２３条１項２号</x:v>
      </x:c>
      <x:c r="J27" s="22" t="str"/>
      <x:c r="K27" s="22" t="str">
        <x:v>令和2年度短答（TAC過去問）／【特許・実用新案】8 （ニ）／スライド44</x:v>
      </x:c>
      <x:c r="L27" s="22" t="n">
        <x:v>0</x:v>
      </x:c>
      <x:c r="M27" s="22" t="n">
        <x:v>0</x:v>
      </x:c>
      <x:c r="N27" s="23" t="str">
        <x:f>IF(SUM(L27:M27)=0,"",L27/SUM(L27:M27))</x:f>
      </x:c>
      <x:c r="O27" s="22" t="str">
        <x:f>IF(SUM(L27:M27)=0,"NEW",IF(N27&gt;=0.9,"A",IF(N27&gt;=0.75,"B",IF(N27&gt;=0.5,"C","D"))))</x:f>
        <x:v>NEW</x:v>
      </x:c>
      <x:c r="P27" s="22" t="n">
        <x:v>0</x:v>
      </x:c>
      <x:c r="Q27" s="24"/>
      <x:c r="R27" s="24"/>
      <x:c r="S27" s="22" t="str">
        <x:v>原問：特許無効審判又は実用新案登録無効審判に関し、次の（イ）～（ホ）のうち、誤っているものは、いくつあるか。</x:v>
      </x:c>
    </x:row>
    <x:row r="28">
      <x:c r="A28" s="22" t="str">
        <x:v>R02-PU08-ホ</x:v>
      </x:c>
      <x:c r="B28" s="22" t="str">
        <x:v>特許・実用新案</x:v>
      </x:c>
      <x:c r="C28" s="22" t="str">
        <x:v>特許無効審判又は実用新案登録無効審判</x:v>
      </x:c>
      <x:c r="D28" s="22" t="str">
        <x:v>特許無効審判又は実用新案登録無効審判／（ホ）</x:v>
      </x:c>
      <x:c r="E28" s="22" t="str">
        <x:v>○×</x:v>
      </x:c>
      <x:c r="F28" s="22" t="str">
        <x:v>実用新案登録が条約に違反してされたとき、利害関係人でなくても、そのことを理由として、その実用新案登録を無効にすることについて実用新案登録無効審判を請求することができる。</x:v>
      </x:c>
      <x:c r="G28" s="22" t="str">
        <x:v>○</x:v>
      </x:c>
      <x:c r="H28" s="22" t="str">
        <x:v>実用新案法には登録異議申立制度がないことから、実用新案登録無効審判においては、いわゆる冒認出頴及び共同出願違反以外の無効理由については、何人も請求することができる（実３７条２項）。したがって、実用新案登録が条約に違反してされたことを理由とする実用新案登録無効審判（実３７条１項３号）は利害関係人でなくとも請求できる（同２項）。よって、本枝は正しい。</x:v>
      </x:c>
      <x:c r="I28" s="22" t="str">
        <x:v>実３７条２項、実３７条１項３号</x:v>
      </x:c>
      <x:c r="J28" s="22" t="str"/>
      <x:c r="K28" s="22" t="str">
        <x:v>令和2年度短答（TAC過去問）／【特許・実用新案】8 （ホ）／スライド45</x:v>
      </x:c>
      <x:c r="L28" s="22" t="n">
        <x:v>0</x:v>
      </x:c>
      <x:c r="M28" s="22" t="n">
        <x:v>0</x:v>
      </x:c>
      <x:c r="N28" s="23" t="str">
        <x:f>IF(SUM(L28:M28)=0,"",L28/SUM(L28:M28))</x:f>
      </x:c>
      <x:c r="O28" s="22" t="str">
        <x:f>IF(SUM(L28:M28)=0,"NEW",IF(N28&gt;=0.9,"A",IF(N28&gt;=0.75,"B",IF(N28&gt;=0.5,"C","D"))))</x:f>
        <x:v>NEW</x:v>
      </x:c>
      <x:c r="P28" s="22" t="n">
        <x:v>0</x:v>
      </x:c>
      <x:c r="Q28" s="24"/>
      <x:c r="R28" s="24"/>
      <x:c r="S28" s="22" t="str">
        <x:v>原問：特許無効審判又は実用新案登録無効審判に関し、次の（イ）～（ホ）のうち、誤っているものは、いくつあるか。</x:v>
      </x:c>
    </x:row>
    <x:row r="29">
      <x:c r="A29" s="22" t="str">
        <x:v>R02-PU09-1</x:v>
      </x:c>
      <x:c r="B29" s="22" t="str">
        <x:v>特許・実用新案</x:v>
      </x:c>
      <x:c r="C29" s="22" t="str">
        <x:v>優先権</x:v>
      </x:c>
      <x:c r="D29" s="22" t="str">
        <x:v>優先権／1</x:v>
      </x:c>
      <x:c r="E29" s="22" t="str">
        <x:v>○×</x:v>
      </x:c>
      <x:c r="F29" s="22" t="str">
        <x:v>甲は、発明イについて特許出願Ａをし、その５月後に、出願Ａを基礎とする国内優先権の主張を伴って、発明イ及び発明ロについて特許出願Ｂをした。出願Ｂの出願から５月後に、発明イ、発明ロ及び発明ハについて特許出願Ｃをする場合、出願Ｃに係る発明イについての特許法第４１条第２項に規定された各規定の適用については、出願Ｃが出願Ａの時にされたものとみなされることはない。</x:v>
      </x:c>
      <x:c r="G29" s="22" t="str">
        <x:v>×</x:v>
      </x:c>
      <x:c r="H29" s="22" t="str">
        <x:v>出願Ｃは、出願Ａから１０月経過後に出願を行っている。したがって、出願Ｃが先の出願Ａに基づく優先権の主張を伴う出願であって、出願Ａの出願の日から１年以内に出願された場合には、特４１条２項に規定された各規定の適用については、出願Ｃが出願Ａの時にされたものとみなされる場合がある。よって、本枝は誤り。
※　第４１条第２項に列挙されている主な規定。
第２９条の新規性・進歩性
第２９条の２の拡大先願
第３９条の先願
第７２条の利用・抵触関係
第７９条の先使用権
第１２６条第７項の独立特許要件</x:v>
      </x:c>
      <x:c r="I29" s="22" t="str">
        <x:v>特４１条２項</x:v>
      </x:c>
      <x:c r="J29" s="22" t="str"/>
      <x:c r="K29" s="22" t="str">
        <x:v>令和2年度短答（TAC過去問）／【特許・実用新案】9 1／スライド47</x:v>
      </x:c>
      <x:c r="L29" s="22" t="n">
        <x:v>0</x:v>
      </x:c>
      <x:c r="M29" s="22" t="n">
        <x:v>0</x:v>
      </x:c>
      <x:c r="N29" s="23" t="str">
        <x:f>IF(SUM(L29:M29)=0,"",L29/SUM(L29:M29))</x:f>
      </x:c>
      <x:c r="O29" s="22" t="str">
        <x:f>IF(SUM(L29:M29)=0,"NEW",IF(N29&gt;=0.9,"A",IF(N29&gt;=0.75,"B",IF(N29&gt;=0.5,"C","D"))))</x:f>
        <x:v>NEW</x:v>
      </x:c>
      <x:c r="P29" s="22" t="n">
        <x:v>0</x:v>
      </x:c>
      <x:c r="Q29" s="24"/>
      <x:c r="R29" s="24"/>
      <x:c r="S29" s="22" t="str">
        <x:v>原問：優先権に関し、次のうち、正しいものは、どれか。（ただし書省略）</x:v>
      </x:c>
    </x:row>
    <x:row r="30">
      <x:c r="A30" s="22" t="str">
        <x:v>R02-PU09-2</x:v>
      </x:c>
      <x:c r="B30" s="22" t="str">
        <x:v>特許・実用新案</x:v>
      </x:c>
      <x:c r="C30" s="22" t="str">
        <x:v>優先権</x:v>
      </x:c>
      <x:c r="D30" s="22" t="str">
        <x:v>優先権／2</x:v>
      </x:c>
      <x:c r="E30" s="22" t="str">
        <x:v>○×</x:v>
      </x:c>
      <x:c r="F30" s="22" t="str">
        <x:v>甲は、特許請求の範囲に発明イ、明細書に発明イ及び発明ロを記載した特許出願Ａをした後、出願Ａを基礎とする国内優先権の主張を伴って、特許請求の範囲に発明イ及び発明ハ、明細書に発明イ及び発明ハを記載した特許出願Ｂをした。その後、出願Ａは出願公開されることなく取り下げたものとみなされ、出願Ｂについて出願公開された。乙は、出願Ａの出願日後、かつ出願Ｂの出願日前に、発明ロを特許請求の範囲に記載した特許出願Ｃをし、この出願Ｃについて出願審査の請求をした。この場合、出願Ｃに係る発明ロは、出願Ａの明細書に記載された発明ロと同一であるから、特許法第２９条の２の規定により、特許を受けることができない。</x:v>
      </x:c>
      <x:c r="G30" s="22" t="str">
        <x:v>×</x:v>
      </x:c>
      <x:c r="H30" s="22" t="str">
        <x:v>出願Ａ（イ、ロ）を基礎とする国内優先権の主張（特４１条１項）を伴う出願Ｂの願書に最初に添付された明細書等に記載された発明（イ、ハ）のうち、ＡとＢに共通して記載されたイについては、Ｂについて出願公開された時に、当該先の出願Ａについて出願公開がされたものとみなして特２９条の２本文の規定を適用する（特４１条３項）。
一方、Ａは経済産業省令で定める期間を経過した時に取り下げたものとみなされることから（特４２条１項）、Ａのみに記載されたロについては先願の地位を有さず、Ｃ（ロ）は先願Ａの存在を理由として特２９条の２の規定により拒絶されることはない。よって、本枝は誤り。</x:v>
      </x:c>
      <x:c r="I30" s="22" t="str">
        <x:v>特４１条１項、特２９条の２、特４１条３項、特４２条１項</x:v>
      </x:c>
      <x:c r="J30" s="22" t="str"/>
      <x:c r="K30" s="22" t="str">
        <x:v>令和2年度短答（TAC過去問）／【特許・実用新案】9 2／スライド48</x:v>
      </x:c>
      <x:c r="L30" s="22" t="n">
        <x:v>0</x:v>
      </x:c>
      <x:c r="M30" s="22" t="n">
        <x:v>0</x:v>
      </x:c>
      <x:c r="N30" s="23" t="str">
        <x:f>IF(SUM(L30:M30)=0,"",L30/SUM(L30:M30))</x:f>
      </x:c>
      <x:c r="O30" s="22" t="str">
        <x:f>IF(SUM(L30:M30)=0,"NEW",IF(N30&gt;=0.9,"A",IF(N30&gt;=0.75,"B",IF(N30&gt;=0.5,"C","D"))))</x:f>
        <x:v>NEW</x:v>
      </x:c>
      <x:c r="P30" s="22" t="n">
        <x:v>0</x:v>
      </x:c>
      <x:c r="Q30" s="24"/>
      <x:c r="R30" s="24"/>
      <x:c r="S30" s="22" t="str">
        <x:v>原問：優先権に関し、次のうち、正しいものは、どれか。（ただし書省略）</x:v>
      </x:c>
    </x:row>
    <x:row r="31">
      <x:c r="A31" s="22" t="str">
        <x:v>R02-PU09-3</x:v>
      </x:c>
      <x:c r="B31" s="22" t="str">
        <x:v>特許・実用新案</x:v>
      </x:c>
      <x:c r="C31" s="22" t="str">
        <x:v>優先権</x:v>
      </x:c>
      <x:c r="D31" s="22" t="str">
        <x:v>優先権／3</x:v>
      </x:c>
      <x:c r="E31" s="22" t="str">
        <x:v>○×</x:v>
      </x:c>
      <x:c r="F31" s="22" t="str">
        <x:v>甲は、自らした発明イを明細書に記載した特許出願Ａをした。その後、出願Ａの出願公開前に、乙は、自らした発明イを特許請求の範囲に記載した特許出願Ｂをした。出願Ａの出願公開の後、特許を受ける権利の移転により、出願Ａの出願人の名義が乙に変更された。その後、乙は、出願Ｂを基礎とする国内優先権の主張を伴って、発明イ及び発明ロを特許請求の範囲に記載した特許出願Ｃをした。
この場合、出願Ｃは、出願Ａをいわゆる拡大された範囲の先願として特許法第２９条の２の規定により拒絶されることはない。</x:v>
      </x:c>
      <x:c r="G31" s="22" t="str">
        <x:v>○</x:v>
      </x:c>
      <x:c r="H31" s="22" t="str">
        <x:v>特２９条の２の規定は、後願の出願時に先願と後願の出願人が同一の者である場合には適用されない（同条但書）。乙の出願Ｂは、甲の先願Ａの存在により、出願Ｂの時点で特２９条の２に規定する拒絶理由を有し、その後の出願Ａの名義変更によっても拒絶理由は解消しない。ここで、後願の出願が国内優先権の主張を伴う出願である場合において、「後願の出願時」とは、国内優先権の主張を伴う後の出願時である（特４１条２項、特実審査基準第Ⅲ部第３章６．２）。
乙は、当該名義変更後、出願Ｂに基づく国内優先権の主張を伴う出願Ｃを行っていることから（特４１条１項）、乙の出願Ｃの際に、出願Ｂについて査定又は審決が確定していない場合（特４１条１項４号）、優先権主張の効果は認められる（特４１条２項）。
本枝において、出願Ｂを基礎とする国内優先権の主張を伴う後願Ｃの出願前に、出願Ａの名義人が乙に変更されているため、後願Ｃの出願時に先願Ａと後願Ｃの出願人が乙で同一の者である。したがって、Ｃは、Ａをいわゆる拡大された範囲の先願として特２９条の２の規定により拒絶されることはない。よって、本枝は正しい。</x:v>
      </x:c>
      <x:c r="I31" s="22" t="str">
        <x:v>特２９条の２、特４１条２項、特４１条１項、特４１条１項４号</x:v>
      </x:c>
      <x:c r="J31" s="22" t="str"/>
      <x:c r="K31" s="22" t="str">
        <x:v>令和2年度短答（TAC過去問）／【特許・実用新案】9 3／スライド50-51</x:v>
      </x:c>
      <x:c r="L31" s="22" t="n">
        <x:v>0</x:v>
      </x:c>
      <x:c r="M31" s="22" t="n">
        <x:v>0</x:v>
      </x:c>
      <x:c r="N31" s="23" t="str">
        <x:f>IF(SUM(L31:M31)=0,"",L31/SUM(L31:M31))</x:f>
      </x:c>
      <x:c r="O31" s="22" t="str">
        <x:f>IF(SUM(L31:M31)=0,"NEW",IF(N31&gt;=0.9,"A",IF(N31&gt;=0.75,"B",IF(N31&gt;=0.5,"C","D"))))</x:f>
        <x:v>NEW</x:v>
      </x:c>
      <x:c r="P31" s="22" t="n">
        <x:v>0</x:v>
      </x:c>
      <x:c r="Q31" s="24"/>
      <x:c r="R31" s="24"/>
      <x:c r="S31" s="22" t="str">
        <x:v>原問：優先権に関し、次のうち、正しいものは、どれか。（ただし書省略）</x:v>
      </x:c>
    </x:row>
    <x:row r="32">
      <x:c r="A32" s="22" t="str">
        <x:v>R02-PU09-4</x:v>
      </x:c>
      <x:c r="B32" s="22" t="str">
        <x:v>特許・実用新案</x:v>
      </x:c>
      <x:c r="C32" s="22" t="str">
        <x:v>優先権</x:v>
      </x:c>
      <x:c r="D32" s="22" t="str">
        <x:v>優先権／4</x:v>
      </x:c>
      <x:c r="E32" s="22" t="str">
        <x:v>○×</x:v>
      </x:c>
      <x:c r="F32" s="22" t="str">
        <x:v>パリ条約の同盟国の国民である甲は、パリ条約の同盟国である国Ｘにおいて発明イについて最初の特許出願Ａをした。出願Ａの出願から９月後、出願Ａを基礎とするパリ優先権の主張を伴って、日本国において発明イについて特許出願Ｂをした。甲は、出願Ｂの手続において、パリ優先権を証明する書類等（特許法第４３条第２項に規定する書類又は同条第５項に規定する書面）を、出願Ａの出願の日から１年６月以内に特許庁長官に提出しなければならない。</x:v>
      </x:c>
      <x:c r="G32" s="22" t="str">
        <x:v>×</x:v>
      </x:c>
      <x:c r="H32" s="22" t="str">
        <x:v>甲は、出願Ａを基礎とするパリ優先権主張を伴う出願Ｂを行っている（特４３条１項）。ここで、パリ優先権を証明する書類等（特４３条２項・５項）を第一国の出願（二以上ある場合は最先のもの）の日から「１年４月以内」に特許庁長官に提出しなければならない（特４３条２項）。この点、パリ優先権を伴う特許出願は、第一国出願の日（優先日）から１年6月後に出願公開されるが、パリ優先権・国内優先権の基礎出願（国名・出願日・出願番号）も特６４条２項８号の「必要な事項」として、出願公開される。このため、証明書類等の提出期限は、公開の２月前（優先日から１年４月）とされている。
したがって、出願Ａの出願の日から「１年６月以内」ではない。よって、本枝は誤り。</x:v>
      </x:c>
      <x:c r="I32" s="22" t="str">
        <x:v>特４３条１項、特４３条２項、特６４条２項８号</x:v>
      </x:c>
      <x:c r="J32" s="22" t="str"/>
      <x:c r="K32" s="22" t="str">
        <x:v>令和2年度短答（TAC過去問）／【特許・実用新案】9 4／スライド54</x:v>
      </x:c>
      <x:c r="L32" s="22" t="n">
        <x:v>0</x:v>
      </x:c>
      <x:c r="M32" s="22" t="n">
        <x:v>0</x:v>
      </x:c>
      <x:c r="N32" s="23" t="str">
        <x:f>IF(SUM(L32:M32)=0,"",L32/SUM(L32:M32))</x:f>
      </x:c>
      <x:c r="O32" s="22" t="str">
        <x:f>IF(SUM(L32:M32)=0,"NEW",IF(N32&gt;=0.9,"A",IF(N32&gt;=0.75,"B",IF(N32&gt;=0.5,"C","D"))))</x:f>
        <x:v>NEW</x:v>
      </x:c>
      <x:c r="P32" s="22" t="n">
        <x:v>0</x:v>
      </x:c>
      <x:c r="Q32" s="24"/>
      <x:c r="R32" s="24"/>
      <x:c r="S32" s="22" t="str">
        <x:v>原問：優先権に関し、次のうち、正しいものは、どれか。（ただし書省略）</x:v>
      </x:c>
    </x:row>
    <x:row r="33">
      <x:c r="A33" s="22" t="str">
        <x:v>R02-PU09-5</x:v>
      </x:c>
      <x:c r="B33" s="22" t="str">
        <x:v>特許・実用新案</x:v>
      </x:c>
      <x:c r="C33" s="22" t="str">
        <x:v>優先権</x:v>
      </x:c>
      <x:c r="D33" s="22" t="str">
        <x:v>優先権／5</x:v>
      </x:c>
      <x:c r="E33" s="22" t="str">
        <x:v>○×</x:v>
      </x:c>
      <x:c r="F33" s="22" t="str">
        <x:v>パリ優先権を証明する書類等（特許法第４３条第２項に規定する書類又は同条第５項に規定する書面）を提出せずに同条第６項に規定する通知を受けた者は、この通知の日から２月を経過した後は、当該書類等を特許庁長官に提出することができる場合はない。</x:v>
      </x:c>
      <x:c r="G33" s="22" t="str">
        <x:v>×</x:v>
      </x:c>
      <x:c r="H33" s="22" t="str">
        <x:v>パリ優先権を証明する書類等（特４３条２項・５項）を提出せず、その旨の通知（特４３条６項）を受けた者は、経済産業省令で定める期間内（同６項の規定の通知の日から２月、特施規２７条の３の３第５項）に限り、当該書類等を特許庁長官に提出することができる（同７項）。第６項の規定による通知を受けた者がその責めに帰することができない理由により提出することができないときは、第７項の規定にかかわらず、経済産業省令で定める期間内に、提出することができる（同８項）。よって、本枝は誤り。
ｃｆ．翻訳文の提出の場合は「故意でなく」
⇒　この差は、優先権主張の場合には、証明書を最終的に提出しなかった場合のペナルティが、優先権主張が効力を失う（日本国への出願自体は残る）ことであるのに対し、外国語書面出願の場合には、翻訳文を最終的に提出しなかった場合のペナルティが、出願の取下擬制（特３６条の２第５項）であって、出願そのものを失うことになるからである。</x:v>
      </x:c>
      <x:c r="I33" s="22" t="str">
        <x:v>特４３条２項、特４３条６項、特３６条の２第５項</x:v>
      </x:c>
      <x:c r="J33" s="22" t="str"/>
      <x:c r="K33" s="22" t="str">
        <x:v>令和2年度短答（TAC過去問）／【特許・実用新案】9 5／スライド55-56</x:v>
      </x:c>
      <x:c r="L33" s="22" t="n">
        <x:v>0</x:v>
      </x:c>
      <x:c r="M33" s="22" t="n">
        <x:v>0</x:v>
      </x:c>
      <x:c r="N33" s="23" t="str">
        <x:f>IF(SUM(L33:M33)=0,"",L33/SUM(L33:M33))</x:f>
      </x:c>
      <x:c r="O33" s="22" t="str">
        <x:f>IF(SUM(L33:M33)=0,"NEW",IF(N33&gt;=0.9,"A",IF(N33&gt;=0.75,"B",IF(N33&gt;=0.5,"C","D"))))</x:f>
        <x:v>NEW</x:v>
      </x:c>
      <x:c r="P33" s="22" t="n">
        <x:v>0</x:v>
      </x:c>
      <x:c r="Q33" s="24"/>
      <x:c r="R33" s="24"/>
      <x:c r="S33" s="22" t="str">
        <x:v>原問：優先権に関し、次のうち、正しいものは、どれか。（ただし書省略）</x:v>
      </x:c>
    </x:row>
    <x:row r="34">
      <x:c r="A34" s="22" t="str">
        <x:v>R02-PU10-ハ</x:v>
      </x:c>
      <x:c r="B34" s="22" t="str">
        <x:v>特許・実用新案</x:v>
      </x:c>
      <x:c r="C34" s="22" t="str">
        <x:v>特許異議の申立て</x:v>
      </x:c>
      <x:c r="D34" s="22" t="str">
        <x:v>特許異議の申立て／（ハ）</x:v>
      </x:c>
      <x:c r="E34" s="22" t="str">
        <x:v>○×</x:v>
      </x:c>
      <x:c r="F34" s="22" t="str">
        <x:v>特許権者が、特許の取消しの理由の通知を受けた後、特許法第１２０条の５第２項の訂正の請求を行った場合、当該訂正の請求において特許異議の申立てがされていない請求項に係る誤記の訂正を目的とする訂正は、訂正後における特許請求の範囲に記載されている事項により特定される発明が特許出願の際独立して特許を受けることができるものでなければならない。</x:v>
      </x:c>
      <x:c r="G34" s="22" t="str">
        <x:v>○</x:v>
      </x:c>
      <x:c r="H34" s="22" t="str">
        <x:v>特許異議の申立てがされていない請求項に係る誤記の訂正を目的とする訂正は、訂正後における特許請求の範囲に記載されている事項により特定される発明が特許出願の際独立して特許を受けることができるものでなければならない（同条９項で読み替えて準用する特１２６条７項）。
特許異議や無効審判が係属している請求項については、第１２０条の５に基づく訂正請求が既に可能であり、そこには独立特許要件に加えて、異議人や第三者からのチェック、審理の中での再評価が行われるという救済的構造があるため、重複して訂正審判で規制を強める必要がないが、一方、特許異議や無効審判もされていない請求項に関しては、他のチェック機会がなく、訂正審判で特許請求の範囲の減縮や誤記修正するときに、その補正内容が適正かどうかを制度的に担保するために、独立特許要件を課しているものである。よって、本枝は正しい。</x:v>
      </x:c>
      <x:c r="I34" s="22" t="str">
        <x:v>特１２６条７項</x:v>
      </x:c>
      <x:c r="J34" s="22" t="str"/>
      <x:c r="K34" s="22" t="str">
        <x:v>令和2年度短答（TAC過去問）／【特許・実用新案】10 （ハ）／スライド59</x:v>
      </x:c>
      <x:c r="L34" s="22" t="n">
        <x:v>0</x:v>
      </x:c>
      <x:c r="M34" s="22" t="n">
        <x:v>0</x:v>
      </x:c>
      <x:c r="N34" s="23" t="str">
        <x:f>IF(SUM(L34:M34)=0,"",L34/SUM(L34:M34))</x:f>
      </x:c>
      <x:c r="O34" s="22" t="str">
        <x:f>IF(SUM(L34:M34)=0,"NEW",IF(N34&gt;=0.9,"A",IF(N34&gt;=0.75,"B",IF(N34&gt;=0.5,"C","D"))))</x:f>
        <x:v>NEW</x:v>
      </x:c>
      <x:c r="P34" s="22" t="n">
        <x:v>0</x:v>
      </x:c>
      <x:c r="Q34" s="24"/>
      <x:c r="R34" s="24"/>
      <x:c r="S34" s="22" t="str">
        <x:v>原問：特許異議の申立てに関し、次の（イ）～（ホ）のうち、正しいものは、いくつあるか。</x:v>
      </x:c>
    </x:row>
    <x:row r="35">
      <x:c r="A35" s="22" t="str">
        <x:v>R02-PU10-ニ</x:v>
      </x:c>
      <x:c r="B35" s="22" t="str">
        <x:v>特許・実用新案</x:v>
      </x:c>
      <x:c r="C35" s="22" t="str">
        <x:v>特許異議の申立て</x:v>
      </x:c>
      <x:c r="D35" s="22" t="str">
        <x:v>特許異議の申立て／（ニ）</x:v>
      </x:c>
      <x:c r="E35" s="22" t="str">
        <x:v>○×</x:v>
      </x:c>
      <x:c r="F35" s="22" t="str">
        <x:v>特許の取消しの理由の通知に対して特許法第１２０条の５第２項の訂正の請求がされることなく意見書が提出された場合は、審判長は、特許異議申立人を審尋することができない。</x:v>
      </x:c>
      <x:c r="G35" s="22" t="str">
        <x:v>×</x:v>
      </x:c>
      <x:c r="H35" s="22" t="str">
        <x:v>審判長は、審判に関し、当事者及び参加人を審尋することができる（特１３４条４項）。
一方、特許異議の申立てにおいては、合議体が特許権者又は異議申立人の意見を聴く必要があると認めたときは審尋をする（特１２０条の８第１項で準用する特１３４条４項）。
また、特許の取消しの理由の通知に対して特許法第１２０条の５第２項の訂正の請求がされることなく意見書が提出された場合には審尋ができないとする、本枝のような例外規定もない。よって、本枝は誤り。</x:v>
      </x:c>
      <x:c r="I35" s="22" t="str">
        <x:v>特１３４条４項、特１２０条の８第１項</x:v>
      </x:c>
      <x:c r="J35" s="22" t="str"/>
      <x:c r="K35" s="22" t="str">
        <x:v>令和2年度短答（TAC過去問）／【特許・実用新案】10 （ニ）／スライド60</x:v>
      </x:c>
      <x:c r="L35" s="22" t="n">
        <x:v>0</x:v>
      </x:c>
      <x:c r="M35" s="22" t="n">
        <x:v>0</x:v>
      </x:c>
      <x:c r="N35" s="23" t="str">
        <x:f>IF(SUM(L35:M35)=0,"",L35/SUM(L35:M35))</x:f>
      </x:c>
      <x:c r="O35" s="22" t="str">
        <x:f>IF(SUM(L35:M35)=0,"NEW",IF(N35&gt;=0.9,"A",IF(N35&gt;=0.75,"B",IF(N35&gt;=0.5,"C","D"))))</x:f>
        <x:v>NEW</x:v>
      </x:c>
      <x:c r="P35" s="22" t="n">
        <x:v>0</x:v>
      </x:c>
      <x:c r="Q35" s="24"/>
      <x:c r="R35" s="24"/>
      <x:c r="S35" s="22" t="str">
        <x:v>原問：特許異議の申立てに関し、次の（イ）～（ホ）のうち、正しいものは、いくつあるか。</x:v>
      </x:c>
    </x:row>
    <x:row r="36">
      <x:c r="A36" s="22" t="str">
        <x:v>R02-PU10-ホ</x:v>
      </x:c>
      <x:c r="B36" s="22" t="str">
        <x:v>特許・実用新案</x:v>
      </x:c>
      <x:c r="C36" s="22" t="str">
        <x:v>特許異議の申立て</x:v>
      </x:c>
      <x:c r="D36" s="22" t="str">
        <x:v>特許異議の申立て／（ホ）</x:v>
      </x:c>
      <x:c r="E36" s="22" t="str">
        <x:v>○×</x:v>
      </x:c>
      <x:c r="F36" s="22" t="str">
        <x:v>特許権者は、特許法第１２０条の５第２項の訂正の請求書の却下の決定に対して、東京高等裁判所に直接訴えを提起することができない。</x:v>
      </x:c>
      <x:c r="G36" s="22" t="str">
        <x:v>×</x:v>
      </x:c>
      <x:c r="H36" s="22" t="str">
        <x:v>特１２０条の５第２項の訂正の請求書の却下の決定に対する訴えは、東京高等裁判所の専属管轄とする（特１７８条１項）。したがって、当該決定に対して、東京高等裁判所に直接訴えを提起することができる。よって、本枝は誤り。
※ 以下の審決等取消訴訟は、東京高等栽判所の専属管轄とする（特１７８条１項）。
① 特許異議申立てによる取消決定（維持決定を除く）
② 各種審判による審決
③ 特許異議申立書の却下の決定
④ 審判請求書の却下の決定
⑤ 再審請求書の却下の決定
⑥ 特許異議申立てにおける訂正請求書の却下の決定
⑦ 特許無効審判における訂正請求書の却下の決定</x:v>
      </x:c>
      <x:c r="I36" s="22" t="str">
        <x:v>特１２０条の５第２項、特１７８条１項</x:v>
      </x:c>
      <x:c r="J36" s="22" t="str"/>
      <x:c r="K36" s="22" t="str">
        <x:v>令和2年度短答（TAC過去問）／【特許・実用新案】10 （ホ）／スライド61</x:v>
      </x:c>
      <x:c r="L36" s="22" t="n">
        <x:v>0</x:v>
      </x:c>
      <x:c r="M36" s="22" t="n">
        <x:v>0</x:v>
      </x:c>
      <x:c r="N36" s="23" t="str">
        <x:f>IF(SUM(L36:M36)=0,"",L36/SUM(L36:M36))</x:f>
      </x:c>
      <x:c r="O36" s="22" t="str">
        <x:f>IF(SUM(L36:M36)=0,"NEW",IF(N36&gt;=0.9,"A",IF(N36&gt;=0.75,"B",IF(N36&gt;=0.5,"C","D"))))</x:f>
        <x:v>NEW</x:v>
      </x:c>
      <x:c r="P36" s="22" t="n">
        <x:v>0</x:v>
      </x:c>
      <x:c r="Q36" s="24"/>
      <x:c r="R36" s="24"/>
      <x:c r="S36" s="22" t="str">
        <x:v>原問：特許異議の申立てに関し、次の（イ）～（ホ）のうち、正しいものは、いくつあるか。</x:v>
      </x:c>
    </x:row>
    <x:row r="37">
      <x:c r="A37" s="22" t="str">
        <x:v>R02-PU11-ロ</x:v>
      </x:c>
      <x:c r="B37" s="22" t="str">
        <x:v>特許・実用新案</x:v>
      </x:c>
      <x:c r="C37" s="22" t="str">
        <x:v>特許権等</x:v>
      </x:c>
      <x:c r="D37" s="22" t="str">
        <x:v>特許権等／（ロ）</x:v>
      </x:c>
      <x:c r="E37" s="22" t="str">
        <x:v>○×</x:v>
      </x:c>
      <x:c r="F37" s="22" t="str">
        <x:v>特許権侵害訴訟において、特許請求の範囲に記載された構成と対象製品の構成に異なる部分が存する場合であっても、その異なる部分が特許発明の本質的部分であるときは、対象製品の当該構成の異なる部分が特許請求の範囲に記載された構成と均等なものとして、当該対象製品は、特許発明の技術的範囲に属すると解される。</x:v>
      </x:c>
      <x:c r="G37" s="22" t="str">
        <x:v>×</x:v>
      </x:c>
      <x:c r="H37" s="22" t="str">
        <x:v>均等論の判断基準として（判例）、特許請求の範囲と異なる部分がある場合であっても、①特許発明の本質的な部分でないことが要件とされる（青本特７０条）。本問では、異なる部分が「特許発明の本質的部分であるとき」としている。よって、本枝は誤り。</x:v>
      </x:c>
      <x:c r="I37" s="22" t="str">
        <x:v>特７０条</x:v>
      </x:c>
      <x:c r="J37" s="22" t="str"/>
      <x:c r="K37" s="22" t="str">
        <x:v>令和2年度短答（TAC過去問）／【特許・実用新案】11 （ロ）／スライド65</x:v>
      </x:c>
      <x:c r="L37" s="22" t="n">
        <x:v>0</x:v>
      </x:c>
      <x:c r="M37" s="22" t="n">
        <x:v>0</x:v>
      </x:c>
      <x:c r="N37" s="23" t="str">
        <x:f>IF(SUM(L37:M37)=0,"",L37/SUM(L37:M37))</x:f>
      </x:c>
      <x:c r="O37" s="22" t="str">
        <x:f>IF(SUM(L37:M37)=0,"NEW",IF(N37&gt;=0.9,"A",IF(N37&gt;=0.75,"B",IF(N37&gt;=0.5,"C","D"))))</x:f>
        <x:v>NEW</x:v>
      </x:c>
      <x:c r="P37" s="22" t="n">
        <x:v>0</x:v>
      </x:c>
      <x:c r="Q37" s="24"/>
      <x:c r="R37" s="24"/>
      <x:c r="S37" s="22" t="str">
        <x:v>原問：特許権等に関して、次の（イ）～（ニ）のうち、誤っているものは、いくつあるか。</x:v>
      </x:c>
    </x:row>
    <x:row r="38">
      <x:c r="A38" s="22" t="str">
        <x:v>R02-PU11-ニ</x:v>
      </x:c>
      <x:c r="B38" s="22" t="str">
        <x:v>特許・実用新案</x:v>
      </x:c>
      <x:c r="C38" s="22" t="str">
        <x:v>特許権等</x:v>
      </x:c>
      <x:c r="D38" s="22" t="str">
        <x:v>特許権等／（ニ）</x:v>
      </x:c>
      <x:c r="E38" s="22" t="str">
        <x:v>○×</x:v>
      </x:c>
      <x:c r="F38" s="22" t="str">
        <x:v>特許権者が死亡し、民法第９５８条（相続人の捜索の公告）の期間内に相続人である権利を主張する者がないときは、相続財産である特許権は国庫に帰属する。</x:v>
      </x:c>
      <x:c r="G38" s="22" t="str">
        <x:v>×</x:v>
      </x:c>
      <x:c r="H38" s="22" t="str">
        <x:v>特許権は、民９５２条２項の期間内に相続人である権利を主張する者がないときは、消滅する（特７６条）。民法９５９条の規定によれば、相続人がいない場合は相続財産は国庫に帰属することになっているが、本条はその例外を規定し、相続人がいないときは特許権は消滅することとしたのである。その理由は、特許権を消滅せしめて一般公衆に公開し、その特許発明の実施を容易ならしめることが政策上適切と考えられるからである。（青本同条）。よって、本枝は誤り。
【参考】
知的財産（法律）における domain「パブリックドメイン（public domain）」の domain は「公的な所有領域」という意味です。
意味：著作権などの独占的な権利（private domain = 私的領域）が消滅し、社会全体の共有財産（公的領域）になった範囲を指します。</x:v>
      </x:c>
      <x:c r="I38" s="22" t="str">
        <x:v>特７６条</x:v>
      </x:c>
      <x:c r="J38" s="22" t="str"/>
      <x:c r="K38" s="22" t="str">
        <x:v>令和2年度短答（TAC過去問）／【特許・実用新案】11 （ニ）／スライド68</x:v>
      </x:c>
      <x:c r="L38" s="22" t="n">
        <x:v>0</x:v>
      </x:c>
      <x:c r="M38" s="22" t="n">
        <x:v>0</x:v>
      </x:c>
      <x:c r="N38" s="23" t="str">
        <x:f>IF(SUM(L38:M38)=0,"",L38/SUM(L38:M38))</x:f>
      </x:c>
      <x:c r="O38" s="22" t="str">
        <x:f>IF(SUM(L38:M38)=0,"NEW",IF(N38&gt;=0.9,"A",IF(N38&gt;=0.75,"B",IF(N38&gt;=0.5,"C","D"))))</x:f>
        <x:v>NEW</x:v>
      </x:c>
      <x:c r="P38" s="22" t="n">
        <x:v>0</x:v>
      </x:c>
      <x:c r="Q38" s="24"/>
      <x:c r="R38" s="24"/>
      <x:c r="S38" s="22" t="str">
        <x:v>原問：特許権等に関して、次の（イ）～（ニ）のうち、誤っているものは、いくつあるか。</x:v>
      </x:c>
    </x:row>
    <x:row r="39">
      <x:c r="A39" s="22" t="str">
        <x:v>R02-PU12-1</x:v>
      </x:c>
      <x:c r="B39" s="22" t="str">
        <x:v>特許・実用新案</x:v>
      </x:c>
      <x:c r="C39" s="22" t="str">
        <x:v>特許権に関連する訴訟又は罰則</x:v>
      </x:c>
      <x:c r="D39" s="22" t="str">
        <x:v>特許権に関連する訴訟又は罰則／1</x:v>
      </x:c>
      <x:c r="E39" s="22" t="str">
        <x:v>○×</x:v>
      </x:c>
      <x:c r="F39" s="22" t="str">
        <x:v>特許権者は、その特許発明がその特許出願の日前の出願に係る他人の特許発明を利用するものである場合、当該他人に対しその特許発明の実施をするための通常実施権の許諾について協議を求めることができるが、その協議が成立せず、特許庁長官の裁定を請求し、その裁定で定める対価の額について不服があるときは、東京高等裁判所に直接訴えを提起してその対価の減額を求めることができる。</x:v>
      </x:c>
      <x:c r="G39" s="22" t="str">
        <x:v>×</x:v>
      </x:c>
      <x:c r="H39" s="22" t="str">
        <x:v>自己の特許発明の実施をするための通常実施権の裁定（特９２条３項）を受けた者は、その裁定で定める対価の額について不服があるときは、訴えを提起してその額の増減を求めることができる（特１８３条１項）。同項に規定する「対価の額についての訴え」は、一審を高等裁判所とする規定も他に見られず、原則として、被告となるべき者の所在地を管轄する地方栽判所に提起されることになる（中山「注解特許法」）。よって、本枝は誤り。</x:v>
      </x:c>
      <x:c r="I39" s="22" t="str">
        <x:v>特９２条３項、特１８３条１項</x:v>
      </x:c>
      <x:c r="J39" s="22" t="str"/>
      <x:c r="K39" s="22" t="str">
        <x:v>令和2年度短答（TAC過去問）／【特許・実用新案】12 1／スライド69</x:v>
      </x:c>
      <x:c r="L39" s="22" t="n">
        <x:v>0</x:v>
      </x:c>
      <x:c r="M39" s="22" t="n">
        <x:v>0</x:v>
      </x:c>
      <x:c r="N39" s="23" t="str">
        <x:f>IF(SUM(L39:M39)=0,"",L39/SUM(L39:M39))</x:f>
      </x:c>
      <x:c r="O39" s="22" t="str">
        <x:f>IF(SUM(L39:M39)=0,"NEW",IF(N39&gt;=0.9,"A",IF(N39&gt;=0.75,"B",IF(N39&gt;=0.5,"C","D"))))</x:f>
        <x:v>NEW</x:v>
      </x:c>
      <x:c r="P39" s="22" t="n">
        <x:v>0</x:v>
      </x:c>
      <x:c r="Q39" s="24"/>
      <x:c r="R39" s="24"/>
      <x:c r="S39" s="22" t="str">
        <x:v>原問：特許権に関連する訴訟又は罰則に関し、次のうち、正しいものは、どれか。</x:v>
      </x:c>
    </x:row>
    <x:row r="40">
      <x:c r="A40" s="22" t="str">
        <x:v>R02-PU12-2</x:v>
      </x:c>
      <x:c r="B40" s="22" t="str">
        <x:v>特許・実用新案</x:v>
      </x:c>
      <x:c r="C40" s="22" t="str">
        <x:v>特許権に関連する訴訟又は罰則</x:v>
      </x:c>
      <x:c r="D40" s="22" t="str">
        <x:v>特許権に関連する訴訟又は罰則／2</x:v>
      </x:c>
      <x:c r="E40" s="22" t="str">
        <x:v>○×</x:v>
      </x:c>
      <x:c r="F40" s="22" t="str">
        <x:v>特許無効審判の審決に対する取消訴訟において、既に提出された準備書面に当事者の保有する営業秘密が記載されているときは、裁判所は、当事者の申立てにより、特許法上の秘密保持命令を発することができる。</x:v>
      </x:c>
      <x:c r="G40" s="22" t="str">
        <x:v>×</x:v>
      </x:c>
      <x:c r="H40" s="22" t="str">
        <x:v>既に提出され若しくは提出されるべき準備書面に当事者の保有する営業秘密が記載されているときは（特１０５条の４第１項１号）、当事者の申立により、特許法上の秘密保持命令を発することができる。しかしながら、「特許権又は専用実施権の侵害に係る訴訟」において、裁判所は特許法上の秘密保持命令を発することができるのであって、「特許無効審判の審決に対する取消訴訟」ではない。よって、本枝は誤り。
秘密保持命令（特１０５条の４）が「特許権又は専用実施権の侵害に係る訴訟」に限定されるのは、侵害訴訟では損害額算定や具体的態様の明示、書類提出命令等を通じて当事者の生の営業秘密が開示される場面が多いためであり、これは、ＴＲＩＰＳ協定４２条を受けて導入された制度である。
一方、審決取消訴訟も当事者対立構造（特１７９条ただし書）を取るが、実質は審決の適法性を争う行政訴訟であり、争点は公知技術との対比による特許の有効性で、営業秘密開示の場面が想定されないため、秘密保持命令の対象外とされている（実・意・商も特１０５条の４を準用（実３０、意４１、商３９）している。）。
なお、「当事者型だから対象」「準備書面に営業秘密があれば発令」というひっかけに注意。また、申立主義であり職権発令をすることはできない。</x:v>
      </x:c>
      <x:c r="I40" s="22" t="str">
        <x:v>特１０５条の４第１項１号、特１０５条の４、特１７９条</x:v>
      </x:c>
      <x:c r="J40" s="22" t="str"/>
      <x:c r="K40" s="22" t="str">
        <x:v>令和2年度短答（TAC過去問）／【特許・実用新案】12 2／スライド70-71</x:v>
      </x:c>
      <x:c r="L40" s="22" t="n">
        <x:v>0</x:v>
      </x:c>
      <x:c r="M40" s="22" t="n">
        <x:v>0</x:v>
      </x:c>
      <x:c r="N40" s="23" t="str">
        <x:f>IF(SUM(L40:M40)=0,"",L40/SUM(L40:M40))</x:f>
      </x:c>
      <x:c r="O40" s="22" t="str">
        <x:f>IF(SUM(L40:M40)=0,"NEW",IF(N40&gt;=0.9,"A",IF(N40&gt;=0.75,"B",IF(N40&gt;=0.5,"C","D"))))</x:f>
        <x:v>NEW</x:v>
      </x:c>
      <x:c r="P40" s="22" t="n">
        <x:v>0</x:v>
      </x:c>
      <x:c r="Q40" s="24"/>
      <x:c r="R40" s="24"/>
      <x:c r="S40" s="22" t="str">
        <x:v>原問：特許権に関連する訴訟又は罰則に関し、次のうち、正しいものは、どれか。</x:v>
      </x:c>
    </x:row>
    <x:row r="41">
      <x:c r="A41" s="22" t="str">
        <x:v>R02-PU13-イ</x:v>
      </x:c>
      <x:c r="B41" s="22" t="str">
        <x:v>特許・実用新案</x:v>
      </x:c>
      <x:c r="C41" s="22" t="str">
        <x:v>特許無効審判、訂正審判又は特許無効審判における訂正の請求</x:v>
      </x:c>
      <x:c r="D41" s="22" t="str">
        <x:v>特許無効審判、訂正審判又は特許無効審判における訂正の請求／（イ）</x:v>
      </x:c>
      <x:c r="E41" s="22" t="str">
        <x:v>○×</x:v>
      </x:c>
      <x:c r="F41" s="22" t="str">
        <x:v>特許請求の範囲の訂正をすることについての訂正審判において、請求項の数を増加させる訂正が認められる場合がある。</x:v>
      </x:c>
      <x:c r="G41" s="22" t="str">
        <x:v>○</x:v>
      </x:c>
      <x:c r="H41" s="22" t="str">
        <x:v>訂正審判は、①特許請求の範囲の減縮（特１２６条１項１号）、②誤記又は誤訳の訂正（同２号）、③明瞭でない記載の釈明（同３号）、④他の請求項の記載を引用する請求項の記載を他の請求項の記載を引用しないものとすること（同４号）を目的とするものに限られる（同項柱書）。上記①に関し、原則として、請求項を増加する訂正は、特許請求の範囲の減縮には該当しない。ただし、①ｎ項引用している１の請求項をｎ－１以下の請求項に変更（※）、②請求項間の引用関係の解消に該当するときには、請求項を増加する訂正も認められる（審判便覧３８－０３の２⑶）。よって、本枝は正しい。</x:v>
      </x:c>
      <x:c r="I41" s="22" t="str">
        <x:v>特１２６条１項１号</x:v>
      </x:c>
      <x:c r="J41" s="22" t="str"/>
      <x:c r="K41" s="22" t="str">
        <x:v>令和2年度短答（TAC過去問）／【特許・実用新案】13 （イ）／スライド72</x:v>
      </x:c>
      <x:c r="L41" s="22" t="n">
        <x:v>0</x:v>
      </x:c>
      <x:c r="M41" s="22" t="n">
        <x:v>0</x:v>
      </x:c>
      <x:c r="N41" s="23" t="str">
        <x:f>IF(SUM(L41:M41)=0,"",L41/SUM(L41:M41))</x:f>
      </x:c>
      <x:c r="O41" s="22" t="str">
        <x:f>IF(SUM(L41:M41)=0,"NEW",IF(N41&gt;=0.9,"A",IF(N41&gt;=0.75,"B",IF(N41&gt;=0.5,"C","D"))))</x:f>
        <x:v>NEW</x:v>
      </x:c>
      <x:c r="P41" s="22" t="n">
        <x:v>0</x:v>
      </x:c>
      <x:c r="Q41" s="24"/>
      <x:c r="R41" s="24"/>
      <x:c r="S41" s="22" t="str">
        <x:v>原問：特許無効審判、訂正審判又は特許無効審判における訂正の請求に関し、次の（イ）～（ニ）のうち、正しいものは、いくつあるか。</x:v>
      </x:c>
    </x:row>
    <x:row r="42">
      <x:c r="A42" s="22" t="str">
        <x:v>R02-PU13-ロ</x:v>
      </x:c>
      <x:c r="B42" s="22" t="str">
        <x:v>特許・実用新案</x:v>
      </x:c>
      <x:c r="C42" s="22" t="str">
        <x:v>特許無効審判、訂正審判又は特許無効審判における訂正の請求</x:v>
      </x:c>
      <x:c r="D42" s="22" t="str">
        <x:v>特許無効審判、訂正審判又は特許無効審判における訂正の請求／（ロ）</x:v>
      </x:c>
      <x:c r="E42" s="22" t="str">
        <x:v>○×</x:v>
      </x:c>
      <x:c r="F42" s="22" t="str">
        <x:v>特許無効審判は、特許権について特許法第７９条（先使用による通常実施権）の規定に基づき通常実施権を有する者であっても、請求することができる。</x:v>
      </x:c>
      <x:c r="G42" s="22" t="str">
        <x:v>○</x:v>
      </x:c>
      <x:c r="H42" s="22" t="str">
        <x:v>特許無効審判は、利害関係人に限り請求することができる（特１２３条２項）。ここで、審判便覧（３１－０２）では、利害関係人の具体例として、当該特許発明と同一である発明を実施している者、当該特許権の専用実施権者、通常実施権者等が例示されている。同項に規定する利害関係について、特許権侵害を問題にされる可能性が少しでも残っている限り、そのような問題を提起されるおそれのある者は、当該特許を無効にすることについて私的な利害関係を有し、特許無効審判を行う利益を有することは明らかである。したがって、先使用による通常実施権者（第７９条）についても、利害関係は認められると解される。よって、本枝は正しい。</x:v>
      </x:c>
      <x:c r="I42" s="22" t="str">
        <x:v>特１２３条２項</x:v>
      </x:c>
      <x:c r="J42" s="22" t="str"/>
      <x:c r="K42" s="22" t="str">
        <x:v>令和2年度短答（TAC過去問）／【特許・実用新案】13 （ロ）／スライド74</x:v>
      </x:c>
      <x:c r="L42" s="22" t="n">
        <x:v>0</x:v>
      </x:c>
      <x:c r="M42" s="22" t="n">
        <x:v>0</x:v>
      </x:c>
      <x:c r="N42" s="23" t="str">
        <x:f>IF(SUM(L42:M42)=0,"",L42/SUM(L42:M42))</x:f>
      </x:c>
      <x:c r="O42" s="22" t="str">
        <x:f>IF(SUM(L42:M42)=0,"NEW",IF(N42&gt;=0.9,"A",IF(N42&gt;=0.75,"B",IF(N42&gt;=0.5,"C","D"))))</x:f>
        <x:v>NEW</x:v>
      </x:c>
      <x:c r="P42" s="22" t="n">
        <x:v>0</x:v>
      </x:c>
      <x:c r="Q42" s="24"/>
      <x:c r="R42" s="24"/>
      <x:c r="S42" s="22" t="str">
        <x:v>原問：特許無効審判、訂正審判又は特許無効審判における訂正の請求に関し、次の（イ）～（ニ）のうち、正しいものは、いくつあるか。</x:v>
      </x:c>
    </x:row>
    <x:row r="43">
      <x:c r="A43" s="22" t="str">
        <x:v>R02-PU13-ハ</x:v>
      </x:c>
      <x:c r="B43" s="22" t="str">
        <x:v>特許・実用新案</x:v>
      </x:c>
      <x:c r="C43" s="22" t="str">
        <x:v>特許無効審判、訂正審判又は特許無効審判における訂正の請求</x:v>
      </x:c>
      <x:c r="D43" s="22" t="str">
        <x:v>特許無効審判、訂正審判又は特許無効審判における訂正の請求／（ハ）</x:v>
      </x:c>
      <x:c r="E43" s="22" t="str">
        <x:v>○×</x:v>
      </x:c>
      <x:c r="F43" s="22" t="str">
        <x:v>特許無効審判の被請求人は、審判請求書の副本及び請求理由の補正に係る手続補正書の副本の送達に伴う答弁書提出期間（特許法第１３４条第１項及び第２項）、審決取消判決に伴う指定期間（特許法第１３４条の３）、及び職権審理の審理結果に対する意見提出期間（特許法第１５３条第２項）に限り、願書に添付した明細書、特許請求の範囲又は図面の訂正を請求することができる。</x:v>
      </x:c>
      <x:c r="G43" s="22" t="str">
        <x:v>×</x:v>
      </x:c>
      <x:c r="H43" s="22" t="str">
        <x:v>特許無効審判の被請求人は、①特１３４条１項若しくは②２項、③特１３４条の３、④特１５３条２項又は⑤特１６４条の２第２項の規定により指定された期間内に限り、願書に添付した明細書、特許請求の範囲又は図面の訂正を請求することができる。本問では、⑤審決の予告に伴う指定期間（特１６４条の２第２項）が抜けている。よって、本枝は誤り。
第１項本文は、特許無効審判における訂正の機会を以下のように規定しています。
①　「審判請求書」の副本及び「請求理由の補正に係る手続補正書」の副本の送達に伴う答弁書提出期間（１３４条１項及び２項）
②　審決取消判決に伴う指定期間（１３４条の３）
③　職権審理がなされた時に、その審理結果に対する意見提出期間（１５３条２項）
④　審決の予告に伴う指定期間（１６４条の２第２項）
について、訂正する機会を与えられることとなります。
本項ただし書は、訂正の目的を規定していますが、各号の規定については、第１２０条の５第２項に規定する特許異議申立てにおける訂正の請求の目的と同様です。
※　語呂合わせ：しん　せい　しん　しょく　よこく（神聖神職予告し訂正請求）</x:v>
      </x:c>
      <x:c r="I43" s="22" t="str">
        <x:v>特１３４条１項、特１３４条の３、特１５３条２項、特１６４条の２第２項</x:v>
      </x:c>
      <x:c r="J43" s="22" t="str"/>
      <x:c r="K43" s="22" t="str">
        <x:v>令和2年度短答（TAC過去問）／【特許・実用新案】13 （ハ）／スライド75-76</x:v>
      </x:c>
      <x:c r="L43" s="22" t="n">
        <x:v>0</x:v>
      </x:c>
      <x:c r="M43" s="22" t="n">
        <x:v>0</x:v>
      </x:c>
      <x:c r="N43" s="23" t="str">
        <x:f>IF(SUM(L43:M43)=0,"",L43/SUM(L43:M43))</x:f>
      </x:c>
      <x:c r="O43" s="22" t="str">
        <x:f>IF(SUM(L43:M43)=0,"NEW",IF(N43&gt;=0.9,"A",IF(N43&gt;=0.75,"B",IF(N43&gt;=0.5,"C","D"))))</x:f>
        <x:v>NEW</x:v>
      </x:c>
      <x:c r="P43" s="22" t="n">
        <x:v>0</x:v>
      </x:c>
      <x:c r="Q43" s="24"/>
      <x:c r="R43" s="24"/>
      <x:c r="S43" s="22" t="str">
        <x:v>原問：特許無効審判、訂正審判又は特許無効審判における訂正の請求に関し、次の（イ）～（ニ）のうち、正しいものは、いくつあるか。</x:v>
      </x:c>
    </x:row>
    <x:row r="44">
      <x:c r="A44" s="22" t="str">
        <x:v>R02-PU13-ニ</x:v>
      </x:c>
      <x:c r="B44" s="22" t="str">
        <x:v>特許・実用新案</x:v>
      </x:c>
      <x:c r="C44" s="22" t="str">
        <x:v>特許無効審判、訂正審判又は特許無効審判における訂正の請求</x:v>
      </x:c>
      <x:c r="D44" s="22" t="str">
        <x:v>特許無効審判、訂正審判又は特許無効審判における訂正の請求／（ニ）</x:v>
      </x:c>
      <x:c r="E44" s="22" t="str">
        <x:v>○×</x:v>
      </x:c>
      <x:c r="F44" s="22" t="str">
        <x:v>訂正審判は、特許権の消滅後に、当該特許権に係る特許が特許法第２９条第２項（いわゆる進歩性）の規定に違反してされたものとして特許無効審判により無効にされた場合であっても、請求することができる。</x:v>
      </x:c>
      <x:c r="G44" s="22" t="str">
        <x:v>×</x:v>
      </x:c>
      <x:c r="H44" s="22" t="str">
        <x:v>訂正審判は、特許権の消滅後においても、請求することができる（特１２６条８項本文）。ただし、特許が取消決定により取り消され、又は特許無効審判により無効にされた後は、請求することはできない（特１２６条８項項ただし書）。よって、本枝は誤り。
８項は、本条の訂正審判が特許権について無効審判をもって攻撃される場合の一つの防衛手段と考えた場合に、その無効審判が特許権の消滅後においても請求し得るものであるならば、訂正審判もまた特許権の消滅後にも請求することができるようにすべきであるという理由から規定したものである。
ただし、特許が無効にされた後において訂正審判を認めることは、１２８条との関連において確定した無効にすべき旨の審決についての再審理由（特１７１条２項で準用される民訴３３８条１項８号「判決の基礎となった民事若しくは刑事の判決その他の裁判又は行政処分が後の裁判又は行政処分により変更されたこと。」）になってくることにもなり、いたずらに制度を複雑化することになりかねないので、訂正審判の防衛的機能は特許が無効にされる前に限って認めることとしたのである（青本）。</x:v>
      </x:c>
      <x:c r="I44" s="22" t="str">
        <x:v>特１２６条８項、特１７１条２項</x:v>
      </x:c>
      <x:c r="J44" s="22" t="str"/>
      <x:c r="K44" s="22" t="str">
        <x:v>令和2年度短答（TAC過去問）／【特許・実用新案】13 （ニ）／スライド77-78</x:v>
      </x:c>
      <x:c r="L44" s="22" t="n">
        <x:v>0</x:v>
      </x:c>
      <x:c r="M44" s="22" t="n">
        <x:v>0</x:v>
      </x:c>
      <x:c r="N44" s="23" t="str">
        <x:f>IF(SUM(L44:M44)=0,"",L44/SUM(L44:M44))</x:f>
      </x:c>
      <x:c r="O44" s="22" t="str">
        <x:f>IF(SUM(L44:M44)=0,"NEW",IF(N44&gt;=0.9,"A",IF(N44&gt;=0.75,"B",IF(N44&gt;=0.5,"C","D"))))</x:f>
        <x:v>NEW</x:v>
      </x:c>
      <x:c r="P44" s="22" t="n">
        <x:v>0</x:v>
      </x:c>
      <x:c r="Q44" s="24"/>
      <x:c r="R44" s="24"/>
      <x:c r="S44" s="22" t="str">
        <x:v>原問：特許無効審判、訂正審判又は特許無効審判における訂正の請求に関し、次の（イ）～（ニ）のうち、正しいものは、いくつあるか。</x:v>
      </x:c>
    </x:row>
    <x:row r="45">
      <x:c r="A45" s="22" t="str">
        <x:v>R02-PU14-1</x:v>
      </x:c>
      <x:c r="B45" s="22" t="str">
        <x:v>特許・実用新案</x:v>
      </x:c>
      <x:c r="C45" s="22" t="str">
        <x:v>特許法上の、特許権又は専用実施権の侵害に係る訴訟における書類の提出等又は秘密保持命令</x:v>
      </x:c>
      <x:c r="D45" s="22" t="str">
        <x:v>特許法上の、特許権又は専用実施権の侵害に係る訴訟における書類の提出等又は秘密保持命令／1</x:v>
      </x:c>
      <x:c r="E45" s="22" t="str">
        <x:v>○×</x:v>
      </x:c>
      <x:c r="F45" s="22" t="str">
        <x:v>裁判所は、書類の所持者においてその提出を拒むことについて正当な理由があるかどうかの判断をするため必要があると認めるときは、書類の所持者にその提示をさせることができ、さらに、書類の所持者の同意を得た場合に限り、その提示させた書類を当事者に開示して意見を聴くことができる。</x:v>
      </x:c>
      <x:c r="G45" s="22" t="str">
        <x:v>×</x:v>
      </x:c>
      <x:c r="H45" s="22" t="str">
        <x:v>裁判所が書類提出の必要性又は書類の提出を拒む「正当な理由」を判断するに際して、書類を提示してその意見を聴くことが必要であるときは、当事者等、訴訟代理人又は補佐人に当該書類を開示することができる（特１０５条３項）。したがって、書類の所持者の同意を得た場合には限られない。よって、本枝は誤り。</x:v>
      </x:c>
      <x:c r="I45" s="22" t="str">
        <x:v>特１０５条３項</x:v>
      </x:c>
      <x:c r="J45" s="22" t="str"/>
      <x:c r="K45" s="22" t="str">
        <x:v>令和2年度短答（TAC過去問）／【特許・実用新案】14 1／スライド80</x:v>
      </x:c>
      <x:c r="L45" s="22" t="n">
        <x:v>0</x:v>
      </x:c>
      <x:c r="M45" s="22" t="n">
        <x:v>0</x:v>
      </x:c>
      <x:c r="N45" s="23" t="str">
        <x:f>IF(SUM(L45:M45)=0,"",L45/SUM(L45:M45))</x:f>
      </x:c>
      <x:c r="O45" s="22" t="str">
        <x:f>IF(SUM(L45:M45)=0,"NEW",IF(N45&gt;=0.9,"A",IF(N45&gt;=0.75,"B",IF(N45&gt;=0.5,"C","D"))))</x:f>
        <x:v>NEW</x:v>
      </x:c>
      <x:c r="P45" s="22" t="n">
        <x:v>0</x:v>
      </x:c>
      <x:c r="Q45" s="24"/>
      <x:c r="R45" s="24"/>
      <x:c r="S45" s="22" t="str">
        <x:v>原問：特許法上の、特許権又は専用実施権の侵害に係る訴訟における書類の提出等又は秘密保持命令に関し、次のうち、正しいものは、どれか。</x:v>
      </x:c>
    </x:row>
    <x:row r="46">
      <x:c r="A46" s="22" t="str">
        <x:v>R02-PU14-3</x:v>
      </x:c>
      <x:c r="B46" s="22" t="str">
        <x:v>特許・実用新案</x:v>
      </x:c>
      <x:c r="C46" s="22" t="str">
        <x:v>特許法上の、特許権又は専用実施権の侵害に係る訴訟における書類の提出等又は秘密保持命令</x:v>
      </x:c>
      <x:c r="D46" s="22" t="str">
        <x:v>特許法上の、特許権又は専用実施権の侵害に係る訴訟における書類の提出等又は秘密保持命令／3</x:v>
      </x:c>
      <x:c r="E46" s="22" t="str">
        <x:v>○×</x:v>
      </x:c>
      <x:c r="F46" s="22" t="str">
        <x:v>特許権又は専用実施権の侵害に係る訴訟において、当該侵害の行為による損害の計算をするため必要な書類について、裁判所は、当事者の申立てがなければ、当事者に提出を命ずることはできない。</x:v>
      </x:c>
      <x:c r="G46" s="22" t="str">
        <x:v>○</x:v>
      </x:c>
      <x:c r="H46" s="22" t="str">
        <x:v>裁判所は、特許権又は専用実施権の侵害に係る訴訟においては、当事者の申立てにより、必要な書類の提出を命することができる（特１０５条１項）。したがって、当事者の申立てがなければ書類の提出を命ずることはできない（同項）。よって、本枝は正しい。</x:v>
      </x:c>
      <x:c r="I46" s="22" t="str">
        <x:v>特１０５条１項</x:v>
      </x:c>
      <x:c r="J46" s="22" t="str"/>
      <x:c r="K46" s="22" t="str">
        <x:v>令和2年度短答（TAC過去問）／【特許・実用新案】14 3／スライド81</x:v>
      </x:c>
      <x:c r="L46" s="22" t="n">
        <x:v>0</x:v>
      </x:c>
      <x:c r="M46" s="22" t="n">
        <x:v>0</x:v>
      </x:c>
      <x:c r="N46" s="23" t="str">
        <x:f>IF(SUM(L46:M46)=0,"",L46/SUM(L46:M46))</x:f>
      </x:c>
      <x:c r="O46" s="22" t="str">
        <x:f>IF(SUM(L46:M46)=0,"NEW",IF(N46&gt;=0.9,"A",IF(N46&gt;=0.75,"B",IF(N46&gt;=0.5,"C","D"))))</x:f>
        <x:v>NEW</x:v>
      </x:c>
      <x:c r="P46" s="22" t="n">
        <x:v>0</x:v>
      </x:c>
      <x:c r="Q46" s="24"/>
      <x:c r="R46" s="24"/>
      <x:c r="S46" s="22" t="str">
        <x:v>原問：特許法上の、特許権又は専用実施権の侵害に係る訴訟における書類の提出等又は秘密保持命令に関し、次のうち、正しいものは、どれか。</x:v>
      </x:c>
    </x:row>
    <x:row r="47">
      <x:c r="A47" s="22" t="str">
        <x:v>R02-PU14-4</x:v>
      </x:c>
      <x:c r="B47" s="22" t="str">
        <x:v>特許・実用新案</x:v>
      </x:c>
      <x:c r="C47" s="22" t="str">
        <x:v>特許法上の、特許権又は専用実施権の侵害に係る訴訟における書類の提出等又は秘密保持命令</x:v>
      </x:c>
      <x:c r="D47" s="22" t="str">
        <x:v>特許法上の、特許権又は専用実施権の侵害に係る訴訟における書類の提出等又は秘密保持命令／4</x:v>
      </x:c>
      <x:c r="E47" s="22" t="str">
        <x:v>○×</x:v>
      </x:c>
      <x:c r="F47" s="22" t="str">
        <x:v>特許権又は専用実施権の侵害に係る訴訟において、当事者がその保有する営業秘密について、秘密保持命令の決定を得るためには、当該営業秘密が当該訴訟の追行の目的以外の目的で使用され、かつ当該営業秘密が開示されることにより、当該営業秘密に基づく当事者の事業活動に支障を生ずるおそれがあり、これを防止するため当該営業秘密の使用及び開示を制限する必要があることを、疎明しなければならない。</x:v>
      </x:c>
      <x:c r="G47" s="22" t="str">
        <x:v>×</x:v>
      </x:c>
      <x:c r="H47" s="22" t="str">
        <x:v>裁判所は、特許権又は専用実施権の侵害に係る訴訟において、当事者がその保有する営業秘密について、秘密保持命令の決定を得るためには、その当事者が保有する営業秘密について（特１０５条の４第１項１号）、営業秘密が当該訴訟の追行の目的以外の目的で使用され、「又は当該営業秘密が開示されることにより」、当該営業秘密に基づく当事者の事業活動に支障を生ずるおそれがあり、これを防止するため当該営業秘密の使用又は開示を制限する必要があること（特１０５条の４第１項２号）を疎明しなければならない（同項柱書）。したがって、「かつ当該営業秘密が開示されることにより」ではない。よって、本枝は誤り。</x:v>
      </x:c>
      <x:c r="I47" s="22" t="str">
        <x:v>特１０５条の４第１項１号、特１０５条の４第１項２号</x:v>
      </x:c>
      <x:c r="J47" s="22" t="str"/>
      <x:c r="K47" s="22" t="str">
        <x:v>令和2年度短答（TAC過去問）／【特許・実用新案】14 4／スライド82</x:v>
      </x:c>
      <x:c r="L47" s="22" t="n">
        <x:v>0</x:v>
      </x:c>
      <x:c r="M47" s="22" t="n">
        <x:v>0</x:v>
      </x:c>
      <x:c r="N47" s="23" t="str">
        <x:f>IF(SUM(L47:M47)=0,"",L47/SUM(L47:M47))</x:f>
      </x:c>
      <x:c r="O47" s="22" t="str">
        <x:f>IF(SUM(L47:M47)=0,"NEW",IF(N47&gt;=0.9,"A",IF(N47&gt;=0.75,"B",IF(N47&gt;=0.5,"C","D"))))</x:f>
        <x:v>NEW</x:v>
      </x:c>
      <x:c r="P47" s="22" t="n">
        <x:v>0</x:v>
      </x:c>
      <x:c r="Q47" s="24"/>
      <x:c r="R47" s="24"/>
      <x:c r="S47" s="22" t="str">
        <x:v>原問：特許法上の、特許権又は専用実施権の侵害に係る訴訟における書類の提出等又は秘密保持命令に関し、次のうち、正しいものは、どれか。</x:v>
      </x:c>
    </x:row>
    <x:row r="48">
      <x:c r="A48" s="22" t="str">
        <x:v>R02-PU14-5</x:v>
      </x:c>
      <x:c r="B48" s="22" t="str">
        <x:v>特許・実用新案</x:v>
      </x:c>
      <x:c r="C48" s="22" t="str">
        <x:v>特許法上の、特許権又は専用実施権の侵害に係る訴訟における書類の提出等又は秘密保持命令</x:v>
      </x:c>
      <x:c r="D48" s="22" t="str">
        <x:v>特許法上の、特許権又は専用実施権の侵害に係る訴訟における書類の提出等又は秘密保持命令／5</x:v>
      </x:c>
      <x:c r="E48" s="22" t="str">
        <x:v>○×</x:v>
      </x:c>
      <x:c r="F48" s="22" t="str">
        <x:v>秘密保持命令を取り消す裁判に対して、即時抗告がされた場合であっても、秘密保持命令を取り消す裁判の効力は当該裁判後直ちに生ずる。</x:v>
      </x:c>
      <x:c r="G48" s="22" t="str">
        <x:v>×</x:v>
      </x:c>
      <x:c r="H48" s="22" t="str">
        <x:v>秘密保持命令の取消しの申立てについての裁判に対しては、即時抗告をすることができる（特１０５条の５第３項）。秘密保持命令を取り消す裁判は、確定しなければ」その効力を生じない（同４項）。よって、本枝は誤り。
なお、秘密保持命令を発する裁判は謄本送達後直ちに確定するため即時抗告できないが、それ以外の裁判（秘密保持命令申立却下決定、秘密保持命令取消申立についての裁判（秘密保持命令取消申立却下決定、秘密保持命令取消決定））については、即時抗告をすることができる。</x:v>
      </x:c>
      <x:c r="I48" s="22" t="str">
        <x:v>特１０５条の５第３項</x:v>
      </x:c>
      <x:c r="J48" s="22" t="str"/>
      <x:c r="K48" s="22" t="str">
        <x:v>令和2年度短答（TAC過去問）／【特許・実用新案】14 5／スライド83</x:v>
      </x:c>
      <x:c r="L48" s="22" t="n">
        <x:v>0</x:v>
      </x:c>
      <x:c r="M48" s="22" t="n">
        <x:v>0</x:v>
      </x:c>
      <x:c r="N48" s="23" t="str">
        <x:f>IF(SUM(L48:M48)=0,"",L48/SUM(L48:M48))</x:f>
      </x:c>
      <x:c r="O48" s="22" t="str">
        <x:f>IF(SUM(L48:M48)=0,"NEW",IF(N48&gt;=0.9,"A",IF(N48&gt;=0.75,"B",IF(N48&gt;=0.5,"C","D"))))</x:f>
        <x:v>NEW</x:v>
      </x:c>
      <x:c r="P48" s="22" t="n">
        <x:v>0</x:v>
      </x:c>
      <x:c r="Q48" s="24"/>
      <x:c r="R48" s="24"/>
      <x:c r="S48" s="22" t="str">
        <x:v>原問：特許法上の、特許権又は専用実施権の侵害に係る訴訟における書類の提出等又は秘密保持命令に関し、次のうち、正しいものは、どれか。</x:v>
      </x:c>
    </x:row>
    <x:row r="49">
      <x:c r="A49" s="22" t="str">
        <x:v>R02-PU15-ロ</x:v>
      </x:c>
      <x:c r="B49" s="22" t="str">
        <x:v>特許・実用新案</x:v>
      </x:c>
      <x:c r="C49" s="22" t="str">
        <x:v>特許を受ける権利、仮通常実施権等</x:v>
      </x:c>
      <x:c r="D49" s="22" t="str">
        <x:v>特許を受ける権利、仮通常実施権等／（ロ）</x:v>
      </x:c>
      <x:c r="E49" s="22" t="str">
        <x:v>○×</x:v>
      </x:c>
      <x:c r="F49" s="22" t="str">
        <x:v>仮通常実施権に係る特許法第４１条第１項の先の出願の願書に最初に添付した明細書、特許請求の範囲若しくは実用新案登録請求の範囲又は図面に記載された発明に基づいて特許法第４１条第１項の規定による優先権の主張があったときは、当該仮通常実施権を有する者に対し、当該優先権の主張を伴う特許出願に係る特許を受ける権利に基づいて取得すべき特許権について、当該仮通常実施権の設定行為で定めた範囲内において、当該設定行為に別段の定めがなければ（※）、仮通常実施権が許諾されたものとみなされる。</x:v>
      </x:c>
      <x:c r="G49" s="22" t="str">
        <x:v>○</x:v>
      </x:c>
      <x:c r="H49" s="22" t="str">
        <x:v>特３４条の３第５項は、仮通常実施権に係る特４１条１項の先の出願の願書に最初に添付した明細書、特許請求の範囲若しくは実用新案登録請求の範囲又は図面に記載された発明に基づいて特４１条１項の規定による優先権の主張があったときは、当該仮通常実施権を有する者に対し、当該優先権の主張を伴う特許出願に係る特許を受ける権利に基づいて取得すべき特許権について、当該仮通常実施権の設定行為で定めた範囲内において、当該設定行為に別段の定めがなければ、仮通常実施権が許諾されたものとみなすことを規定している。よって、本枝は正しい。
なお、優先権主張の基礎となった特許出願は、先の出願の日から１年４月を経過した後に取り下げたものとみなされることから、仮専用実施権を設定している場合には、仮専用実施権者の承諾が必要。
※　設問を「別段の定めがなければ許諾されたものとみなされない」と誤読しないこと。</x:v>
      </x:c>
      <x:c r="I49" s="22" t="str">
        <x:v>特３４条の３第５項、特４１条１項</x:v>
      </x:c>
      <x:c r="J49" s="22" t="str"/>
      <x:c r="K49" s="22" t="str">
        <x:v>令和2年度短答（TAC過去問）／【特許・実用新案】15 （ロ）／スライド85-86</x:v>
      </x:c>
      <x:c r="L49" s="22" t="n">
        <x:v>0</x:v>
      </x:c>
      <x:c r="M49" s="22" t="n">
        <x:v>0</x:v>
      </x:c>
      <x:c r="N49" s="23" t="str">
        <x:f>IF(SUM(L49:M49)=0,"",L49/SUM(L49:M49))</x:f>
      </x:c>
      <x:c r="O49" s="22" t="str">
        <x:f>IF(SUM(L49:M49)=0,"NEW",IF(N49&gt;=0.9,"A",IF(N49&gt;=0.75,"B",IF(N49&gt;=0.5,"C","D"))))</x:f>
        <x:v>NEW</x:v>
      </x:c>
      <x:c r="P49" s="22" t="n">
        <x:v>0</x:v>
      </x:c>
      <x:c r="Q49" s="24"/>
      <x:c r="R49" s="24"/>
      <x:c r="S49" s="22" t="str">
        <x:v>原問：特許を受ける権利、仮通常実施権等に関し、次の（イ）～（ホ）のうち、正しいものは、いくつあるか。</x:v>
      </x:c>
    </x:row>
    <x:row r="50">
      <x:c r="A50" s="22" t="str">
        <x:v>R02-PU15-ハ</x:v>
      </x:c>
      <x:c r="B50" s="22" t="str">
        <x:v>特許・実用新案</x:v>
      </x:c>
      <x:c r="C50" s="22" t="str">
        <x:v>特許を受ける権利、仮通常実施権等</x:v>
      </x:c>
      <x:c r="D50" s="22" t="str">
        <x:v>特許を受ける権利、仮通常実施権等／（ハ）</x:v>
      </x:c>
      <x:c r="E50" s="22" t="str">
        <x:v>○×</x:v>
      </x:c>
      <x:c r="F50" s="22" t="str">
        <x:v>甲は、化粧品メーカーＸから、競業関係にある化粧品メーカーＹへ転職した後、化粧品メーカーＹにおいて発明イを着想し発明した。発明イが化粧品メーカーＸでの職務上の経験に基づいてなされたものであれば、発明イは、化粧品メーカーＸにおける、特許法第３５条第１項に規定された職務発明に該当する。</x:v>
      </x:c>
      <x:c r="G50" s="22" t="str">
        <x:v>×</x:v>
      </x:c>
      <x:c r="H50" s="22" t="str">
        <x:v>職務発明とは、①その性質上当該使用者等の業務範囲に属し、かつ、②その発明をするに至った行為が「その使用者等における」従業者等の現在又は過去の職務に属する発明をいう（特３５条１項）。なお、職務発明は同一企業内の場合に限られ、甲が、メーカーＸの時代の職務上の経験に基づいてメーカーＹへ転任後発明イをしたとしても、それは「その使用者等（メーカーＸ）における」ということにならないので、メーカーＸにおける職務発明には該当しない（青本特３５条）。よって、本枝は誤り。</x:v>
      </x:c>
      <x:c r="I50" s="22" t="str">
        <x:v>特３５条１項、特３５条</x:v>
      </x:c>
      <x:c r="J50" s="22" t="str"/>
      <x:c r="K50" s="22" t="str">
        <x:v>令和2年度短答（TAC過去問）／【特許・実用新案】15 （ハ）／スライド87</x:v>
      </x:c>
      <x:c r="L50" s="22" t="n">
        <x:v>0</x:v>
      </x:c>
      <x:c r="M50" s="22" t="n">
        <x:v>0</x:v>
      </x:c>
      <x:c r="N50" s="23" t="str">
        <x:f>IF(SUM(L50:M50)=0,"",L50/SUM(L50:M50))</x:f>
      </x:c>
      <x:c r="O50" s="22" t="str">
        <x:f>IF(SUM(L50:M50)=0,"NEW",IF(N50&gt;=0.9,"A",IF(N50&gt;=0.75,"B",IF(N50&gt;=0.5,"C","D"))))</x:f>
        <x:v>NEW</x:v>
      </x:c>
      <x:c r="P50" s="22" t="n">
        <x:v>0</x:v>
      </x:c>
      <x:c r="Q50" s="24"/>
      <x:c r="R50" s="24"/>
      <x:c r="S50" s="22" t="str">
        <x:v>原問：特許を受ける権利、仮通常実施権等に関し、次の（イ）～（ホ）のうち、正しいものは、いくつあるか。</x:v>
      </x:c>
    </x:row>
    <x:row r="51">
      <x:c r="A51" s="22" t="str">
        <x:v>R02-PU17-1</x:v>
      </x:c>
      <x:c r="B51" s="22" t="str">
        <x:v>特許・実用新案</x:v>
      </x:c>
      <x:c r="C51" s="22" t="str">
        <x:v>特許法に規定する明細書等の補正</x:v>
      </x:c>
      <x:c r="D51" s="22" t="str">
        <x:v>特許法に規定する明細書等の補正／1</x:v>
      </x:c>
      <x:c r="E51" s="22" t="str">
        <x:v>○×</x:v>
      </x:c>
      <x:c r="F51" s="22" t="str">
        <x:v>拒絶査定不服審判において査定の理由と異なる拒絶の理由が発見され、最後の拒絶理由通知を受けた場合、この最後の拒絶理由通知で指定された期間内に、特許請求の範囲について補正をすることなく、明細書又は図面について補正をするとき、この補正が却下されることはない。</x:v>
      </x:c>
      <x:c r="G51" s="22" t="str">
        <x:v>×</x:v>
      </x:c>
      <x:c r="H51" s="22" t="str">
        <x:v>願書に添付した明細書、特許請求の範囲又は図面の補正に関し、最後の拒絶理由通知に対してする補正（特１７条の２第１項３号）については、特１７条の２第３項から第６項までの規定に違反しているものと特許をすべき旨の査定の謄本の送達前に認められたときは、審査官は、決定をもつてその補正を却下しなければならない（特１５９条１項で読み替えて準用する特５３条１項）。したがって、明細書又は図面についての補正が新規事項追加（特１７条の２第３項）に該当する場合には、この補正が却下される場合がある。よって、本枝は誤り。</x:v>
      </x:c>
      <x:c r="I51" s="22" t="str">
        <x:v>特１７条の２第１項３号、特１７条の２第３項、特１５９条１項、特５３条１項</x:v>
      </x:c>
      <x:c r="J51" s="22" t="str"/>
      <x:c r="K51" s="22" t="str">
        <x:v>令和2年度短答（TAC過去問）／【特許・実用新案】17 1／スライド89</x:v>
      </x:c>
      <x:c r="L51" s="22" t="n">
        <x:v>0</x:v>
      </x:c>
      <x:c r="M51" s="22" t="n">
        <x:v>0</x:v>
      </x:c>
      <x:c r="N51" s="23" t="str">
        <x:f>IF(SUM(L51:M51)=0,"",L51/SUM(L51:M51))</x:f>
      </x:c>
      <x:c r="O51" s="22" t="str">
        <x:f>IF(SUM(L51:M51)=0,"NEW",IF(N51&gt;=0.9,"A",IF(N51&gt;=0.75,"B",IF(N51&gt;=0.5,"C","D"))))</x:f>
        <x:v>NEW</x:v>
      </x:c>
      <x:c r="P51" s="22" t="n">
        <x:v>0</x:v>
      </x:c>
      <x:c r="Q51" s="24"/>
      <x:c r="R51" s="24"/>
      <x:c r="S51" s="22" t="str">
        <x:v>原問：特許法に規定する明細書等の補正に関し、次のうち、正しいものは、どれか。（ただし書）</x:v>
      </x:c>
    </x:row>
    <x:row r="52">
      <x:c r="A52" s="22" t="str">
        <x:v>R02-PU17-2</x:v>
      </x:c>
      <x:c r="B52" s="22" t="str">
        <x:v>特許・実用新案</x:v>
      </x:c>
      <x:c r="C52" s="22" t="str">
        <x:v>特許法に規定する明細書等の補正</x:v>
      </x:c>
      <x:c r="D52" s="22" t="str">
        <x:v>特許法に規定する明細書等の補正／2</x:v>
      </x:c>
      <x:c r="E52" s="22" t="str">
        <x:v>○×</x:v>
      </x:c>
      <x:c r="F52" s="22" t="str">
        <x:v>拒絶理由の通知を最初に受けた際、この拒絶理由の通知で指定された期間内に、特許請求の範囲について、発明特定事項イ及びロを追加して減縮する補正をした。これに対し、発明特定事項イを追加する補正が特許法第１７条の２第３項の要件（いわゆる新規事項の追加の禁止）を満たしていないとして最後の拒絶理由通知を受けた。特許請求の範囲について、この最後の拒絶理由通知で指定された期間内にした発明特定事項イを削除する補正は却下されることはない。</x:v>
      </x:c>
      <x:c r="G52" s="22" t="str">
        <x:v>×</x:v>
      </x:c>
      <x:c r="H52" s="22" t="str">
        <x:v>最後の拒絶理由通知に対する補正には、補正の目的要件が課される（特１７条の２第５項各号）。本問に関し、発明特定事項イを削除する補正は、直接的記載の削除であり（特実審査基準第Ⅳ部第４章２．１）、１７条の２第５項各号に列挙する目的の補正に該当しない。したがって、当該補正は、補正の目的要件を満たさず、決定をもってその補正は却下される場合がある（特５３条１項）。よって、本枝は誤り。</x:v>
      </x:c>
      <x:c r="I52" s="22" t="str">
        <x:v>特１７条の２第５項、特５３条１項</x:v>
      </x:c>
      <x:c r="J52" s="22" t="str"/>
      <x:c r="K52" s="22" t="str">
        <x:v>令和2年度短答（TAC過去問）／【特許・実用新案】17 2／スライド90</x:v>
      </x:c>
      <x:c r="L52" s="22" t="n">
        <x:v>0</x:v>
      </x:c>
      <x:c r="M52" s="22" t="n">
        <x:v>0</x:v>
      </x:c>
      <x:c r="N52" s="23" t="str">
        <x:f>IF(SUM(L52:M52)=0,"",L52/SUM(L52:M52))</x:f>
      </x:c>
      <x:c r="O52" s="22" t="str">
        <x:f>IF(SUM(L52:M52)=0,"NEW",IF(N52&gt;=0.9,"A",IF(N52&gt;=0.75,"B",IF(N52&gt;=0.5,"C","D"))))</x:f>
        <x:v>NEW</x:v>
      </x:c>
      <x:c r="P52" s="22" t="n">
        <x:v>0</x:v>
      </x:c>
      <x:c r="Q52" s="24"/>
      <x:c r="R52" s="24"/>
      <x:c r="S52" s="22" t="str">
        <x:v>原問：特許法に規定する明細書等の補正に関し、次のうち、正しいものは、どれか。（ただし書）</x:v>
      </x:c>
    </x:row>
    <x:row r="53">
      <x:c r="A53" s="22" t="str">
        <x:v>R02-PU17-3</x:v>
      </x:c>
      <x:c r="B53" s="22" t="str">
        <x:v>特許・実用新案</x:v>
      </x:c>
      <x:c r="C53" s="22" t="str">
        <x:v>特許法に規定する明細書等の補正</x:v>
      </x:c>
      <x:c r="D53" s="22" t="str">
        <x:v>特許法に規定する明細書等の補正／3</x:v>
      </x:c>
      <x:c r="E53" s="22" t="str">
        <x:v>○×</x:v>
      </x:c>
      <x:c r="F53" s="22" t="str">
        <x:v>訂正審判の請求人は、特許法第１６５条に規定された通知（いわゆる訂正拒絶理由通知）において指定された期間以外は、訂正審判の請求書に添付した訂正した明細書、特許請求の範囲又は図面について、補正をすることができない。</x:v>
      </x:c>
      <x:c r="G53" s="22" t="str">
        <x:v>×</x:v>
      </x:c>
      <x:c r="H53" s="22" t="str">
        <x:v>訂正審判の請求人は、審理の終結の通知（特１５６条１項）がある前であれば、訂正審判の請求書に添付した訂正した明細書、特許請求の範囲又は図面について補正をすることができる（特１７条の５第３項）。よって、本枝は誤り。
訂正審判は、基本的に相手方のいない査定系の審判であり、特許無効審判のように、相手方の防御機会や攻撃防御の区切りを指定期間ごとに厳格に管理する必要性が比較的小さいため、事件が審決をするのに熟して審理終結通知がされるまでは、請求人に訂正内容を整える機会が認められている。一方、審理終結通知後まで自由に補正できると、審決を作成する段階で審理対象が変わってしまうため、審理終結通知がタイムアップになっている。審理が再開された場合は、再開後に改めて審理終結通知がされる前まで補正できる。よって、本枝は誤り。
なお、特許法第１６５条に規定された通知（いわゆる訂正拒絶理由通知）において指定された期間においては、請求人は意見書を提出することができる。</x:v>
      </x:c>
      <x:c r="I53" s="22" t="str">
        <x:v>特１５６条１項、特１７条の５第３項</x:v>
      </x:c>
      <x:c r="J53" s="22" t="str"/>
      <x:c r="K53" s="22" t="str">
        <x:v>令和2年度短答（TAC過去問）／【特許・実用新案】17 3／スライド91</x:v>
      </x:c>
      <x:c r="L53" s="22" t="n">
        <x:v>0</x:v>
      </x:c>
      <x:c r="M53" s="22" t="n">
        <x:v>0</x:v>
      </x:c>
      <x:c r="N53" s="23" t="str">
        <x:f>IF(SUM(L53:M53)=0,"",L53/SUM(L53:M53))</x:f>
      </x:c>
      <x:c r="O53" s="22" t="str">
        <x:f>IF(SUM(L53:M53)=0,"NEW",IF(N53&gt;=0.9,"A",IF(N53&gt;=0.75,"B",IF(N53&gt;=0.5,"C","D"))))</x:f>
        <x:v>NEW</x:v>
      </x:c>
      <x:c r="P53" s="22" t="n">
        <x:v>0</x:v>
      </x:c>
      <x:c r="Q53" s="24"/>
      <x:c r="R53" s="24"/>
      <x:c r="S53" s="22" t="str">
        <x:v>原問：特許法に規定する明細書等の補正に関し、次のうち、正しいものは、どれか。（ただし書）</x:v>
      </x:c>
    </x:row>
    <x:row r="54">
      <x:c r="A54" s="22" t="str">
        <x:v>R02-PU17-4</x:v>
      </x:c>
      <x:c r="B54" s="22" t="str">
        <x:v>特許・実用新案</x:v>
      </x:c>
      <x:c r="C54" s="22" t="str">
        <x:v>特許法に規定する明細書等の補正</x:v>
      </x:c>
      <x:c r="D54" s="22" t="str">
        <x:v>特許法に規定する明細書等の補正／4</x:v>
      </x:c>
      <x:c r="E54" s="22" t="str">
        <x:v>○×</x:v>
      </x:c>
      <x:c r="F54" s="22" t="str">
        <x:v>特許出願人でない者が所定の手数料を納付して出願審査の請求をした。その後、特許出願人が特許請求の範囲についてした補正により請求項の数を増加し、その増加分に応じた出願審査の請求の手数料の納付をしない場合、手数料の納付をすべきことを命じられた特許出願人が、指定された期間内にこの手数料を納付しなかったとき、当該特許出願は却下される。</x:v>
      </x:c>
      <x:c r="G54" s="22" t="str">
        <x:v>○</x:v>
      </x:c>
      <x:c r="H54" s="22" t="str">
        <x:v>特許庁長官は、特１７条３項〔手続の補正〕の規定により特１９５条３項の規定による手数料の納付をすべきことを命じた特許出願人が特１７条３項の規定により指定した期間内にその手数料の納付をしないときは、当該特許出願を却下することができる（特１８条２項）。出願人にその出願を維持する意思がないものとして出願そのものを却下することにしたものである（青本特１８条）。よって、本枝は正しい。
参考：「取下擬制」と「却下」の違い
出願の失効には「取下擬制」と「却下」があります。取下擬制は期間経過等の客観的事実で当然に生じ、処分を要しません（例：特４８条の３第４項の審査請求期間徒過）。一方、却下は補正命令・納付命令等への不応答に対する行政処分です。本枝の特１８条２項は、補正による請求項増加分の審査請求手数料を、命令された期間内に納付しない場合、出願を却下できる（裁量）とするものです。維持意思がないとみて出願そのものを消滅させる構成です。</x:v>
      </x:c>
      <x:c r="I54" s="22" t="str">
        <x:v>特１７条３項、特１９５条３項、特１８条２項、特１８条、特４８条の３第４項</x:v>
      </x:c>
      <x:c r="J54" s="22" t="str"/>
      <x:c r="K54" s="22" t="str">
        <x:v>令和2年度短答（TAC過去問）／【特許・実用新案】17 4／スライド92-93</x:v>
      </x:c>
      <x:c r="L54" s="22" t="n">
        <x:v>0</x:v>
      </x:c>
      <x:c r="M54" s="22" t="n">
        <x:v>0</x:v>
      </x:c>
      <x:c r="N54" s="23" t="str">
        <x:f>IF(SUM(L54:M54)=0,"",L54/SUM(L54:M54))</x:f>
      </x:c>
      <x:c r="O54" s="22" t="str">
        <x:f>IF(SUM(L54:M54)=0,"NEW",IF(N54&gt;=0.9,"A",IF(N54&gt;=0.75,"B",IF(N54&gt;=0.5,"C","D"))))</x:f>
        <x:v>NEW</x:v>
      </x:c>
      <x:c r="P54" s="22" t="n">
        <x:v>0</x:v>
      </x:c>
      <x:c r="Q54" s="24"/>
      <x:c r="R54" s="24"/>
      <x:c r="S54" s="22" t="str">
        <x:v>原問：特許法に規定する明細書等の補正に関し、次のうち、正しいものは、どれか。（ただし書）</x:v>
      </x:c>
    </x:row>
    <x:row r="55">
      <x:c r="A55" s="22" t="str">
        <x:v>R02-PU17-5</x:v>
      </x:c>
      <x:c r="B55" s="22" t="str">
        <x:v>特許・実用新案</x:v>
      </x:c>
      <x:c r="C55" s="22" t="str">
        <x:v>特許法に規定する明細書等の補正</x:v>
      </x:c>
      <x:c r="D55" s="22" t="str">
        <x:v>特許法に規定する明細書等の補正／5</x:v>
      </x:c>
      <x:c r="E55" s="22" t="str">
        <x:v>○×</x:v>
      </x:c>
      <x:c r="F55" s="22" t="str">
        <x:v>特許庁長官は、特許法に定める方式に違反しているとして特許法第１７条第３項の規定により手続の補正をすべきことを命じた者が、同項の規定により指定した期間内に補正をしない場合、特許法第１８条の２第２項に規定された弁明書を提出する機会を与えなければ、その手続を却下することができない。</x:v>
      </x:c>
      <x:c r="G55" s="22" t="str">
        <x:v>×</x:v>
      </x:c>
      <x:c r="H55" s="22" t="str">
        <x:v>特許庁長官は、手続がこの法律又はこの法律に基づく命令で定める方式に違反しているとき（特１７条３項２号）、相当の期間を指定して、手続の補正をすべきことを命ずることができる（同項柱書）。同項の規定により手続の補正をすべきことを命じた者が、指定した期間内に、その補正をしないときは、その手続を却下することができ（特１８条１項）、特１８条の２第２項に規定された弁明書を提出する機会を与えなければ、その手続を却下することができないわけではない。よって、本枝は誤り。</x:v>
      </x:c>
      <x:c r="I55" s="22" t="str">
        <x:v>特１７条３項２号、特１８条１項、特１８条の２第２項</x:v>
      </x:c>
      <x:c r="J55" s="22" t="str"/>
      <x:c r="K55" s="22" t="str">
        <x:v>令和2年度短答（TAC過去問）／【特許・実用新案】17 5／スライド94</x:v>
      </x:c>
      <x:c r="L55" s="22" t="n">
        <x:v>0</x:v>
      </x:c>
      <x:c r="M55" s="22" t="n">
        <x:v>0</x:v>
      </x:c>
      <x:c r="N55" s="23" t="str">
        <x:f>IF(SUM(L55:M55)=0,"",L55/SUM(L55:M55))</x:f>
      </x:c>
      <x:c r="O55" s="22" t="str">
        <x:f>IF(SUM(L55:M55)=0,"NEW",IF(N55&gt;=0.9,"A",IF(N55&gt;=0.75,"B",IF(N55&gt;=0.5,"C","D"))))</x:f>
        <x:v>NEW</x:v>
      </x:c>
      <x:c r="P55" s="22" t="n">
        <x:v>0</x:v>
      </x:c>
      <x:c r="Q55" s="24"/>
      <x:c r="R55" s="24"/>
      <x:c r="S55" s="22" t="str">
        <x:v>原問：特許法に規定する明細書等の補正に関し、次のうち、正しいものは、どれか。（ただし書）</x:v>
      </x:c>
    </x:row>
    <x:row r="56">
      <x:c r="A56" s="22" t="str">
        <x:v>R02-PU18-1</x:v>
      </x:c>
      <x:c r="B56" s="22" t="str">
        <x:v>特許・実用新案</x:v>
      </x:c>
      <x:c r="C56" s="22" t="str">
        <x:v>特許出願の審査及び出願公開等</x:v>
      </x:c>
      <x:c r="D56" s="22" t="str">
        <x:v>特許出願の審査及び出願公開等／1</x:v>
      </x:c>
      <x:c r="E56" s="22" t="str">
        <x:v>○×</x:v>
      </x:c>
      <x:c r="F56" s="22" t="str">
        <x:v>甲は、特許出願Ａの一部を分割して新たな特許出願Ｂをし、出願Ｂに係る特許を受ける権利を乙に承継した。その後、出願Ａについて拒絶の理由が通知されたが、甲は乙に出願Ａについて通知された拒絶の理由を知らせなかった。出願Ａについて拒絶の理由が通知された後、出願Ａが出願公開される前に、乙が出願Ｂについて出願審査の請求をした場合、出願Ｂについての拒絶の理由が出願Ａについての拒絶の理由と同一であるときは、特許法第５０条の２の規定によれば、審査官は、出願Ｂについて、既に通知された拒絶の理由と同一である旨を、その拒絶の理由と併せて通知しなければならない。</x:v>
      </x:c>
      <x:c r="G56" s="22" t="str">
        <x:v>×</x:v>
      </x:c>
      <x:c r="H56" s="22" t="str">
        <x:v>乙は、甲の出願後の権利継承のために出願Ａと出願Ｂの出願人が異なっており、かつ、出願Ｂについての出願審査の請求のときに出願Ａが出願公開前であったために、出願Ａについての拒絶理由通知書の閲覧等ができなかった。したがって、当該特許出願Ｂについての出願審査の請求前に、当該特許出願の出願人乙が、その内容を知り得る状態になかったことから、乙に「既に通知された拒絶の理由」は存在せず、審査官は、出願Ｂについて、その拒絶理由と併せて特５０条の２の規定による通知は要しない（同かっこ書、青本特５０粂の２）。よって、本枝は誤り。</x:v>
      </x:c>
      <x:c r="I56" s="22" t="str">
        <x:v>特５０条の２</x:v>
      </x:c>
      <x:c r="J56" s="22" t="str"/>
      <x:c r="K56" s="22" t="str">
        <x:v>令和2年度短答（TAC過去問）／【特許・実用新案】18 1／スライド96</x:v>
      </x:c>
      <x:c r="L56" s="22" t="n">
        <x:v>0</x:v>
      </x:c>
      <x:c r="M56" s="22" t="n">
        <x:v>0</x:v>
      </x:c>
      <x:c r="N56" s="23" t="str">
        <x:f>IF(SUM(L56:M56)=0,"",L56/SUM(L56:M56))</x:f>
      </x:c>
      <x:c r="O56" s="22" t="str">
        <x:f>IF(SUM(L56:M56)=0,"NEW",IF(N56&gt;=0.9,"A",IF(N56&gt;=0.75,"B",IF(N56&gt;=0.5,"C","D"))))</x:f>
        <x:v>NEW</x:v>
      </x:c>
      <x:c r="P56" s="22" t="n">
        <x:v>0</x:v>
      </x:c>
      <x:c r="Q56" s="24"/>
      <x:c r="R56" s="24"/>
      <x:c r="S56" s="22" t="str">
        <x:v>原問：特許出願の審査及び出願公開等に関し、次のうち、誤っているものは、どれか。（ただし書省略）</x:v>
      </x:c>
    </x:row>
    <x:row r="57">
      <x:c r="A57" s="22" t="str">
        <x:v>R02-PU18-2</x:v>
      </x:c>
      <x:c r="B57" s="22" t="str">
        <x:v>特許・実用新案</x:v>
      </x:c>
      <x:c r="C57" s="22" t="str">
        <x:v>特許出願の審査及び出願公開等</x:v>
      </x:c>
      <x:c r="D57" s="22" t="str">
        <x:v>特許出願の審査及び出願公開等／2</x:v>
      </x:c>
      <x:c r="E57" s="22" t="str">
        <x:v>○×</x:v>
      </x:c>
      <x:c r="F57" s="22" t="str">
        <x:v>甲がある物質Ａの製造方法についての特許権者である場合において、乙がその物質Ａについての別の製造方法を発明したと称して特許出願をし、その査定前に物質Ａの製造行為をした。甲は、乙の製造方法は甲の特許権に係る製造方法と同一であることを理由として、裁判所に乙に対する仮処分命令の申立てを行った。その後、乙の特許出願について拒絶をすべき旨の査定の謄本が送達された場合であっても、裁判所は、必要があると認めるときは、当該査定が確定するまでその訴訟手続を中止することができる。</x:v>
      </x:c>
      <x:c r="G57" s="22" t="str">
        <x:v>○</x:v>
      </x:c>
      <x:c r="H57" s="22" t="str">
        <x:v>訴えの提起又は仮差押命令若しくは仮処分命令の申立てがあった場合において、必要があると認めるときは、裁判所は、査定が確定するまでその訴訟手続を中止することができる（特５４条２項）。
２項の規定が適用される例としては、甲がある物質の製造方法について特許を受けた者である場合において、乙がその物質についての別の製造方法を発明したと称して特許出願をし、その査定を待たずして製造行為をしたとき、甲は乙の製造方法は自己の製造方法と同一であるとして侵害訴訟を提起したとする。この場合の争点の中心は、甲の製造方法と乙の製造方法が同一であるかどうかということになるが、裁判所としてはその判断の資料として乙の特許出願についての査定を待つことが便宜な場合が考えられるのである。なお、２項において査定が確定するというのは、特許査定にあっては査定の謄本の送達と同時に確定し、拒絶査定にあっては査定の謄本の送達後審判を請求することなくその後３月を経過したときに確定する（青本）。</x:v>
      </x:c>
      <x:c r="I57" s="22" t="str">
        <x:v>特５４条２項</x:v>
      </x:c>
      <x:c r="J57" s="22" t="str"/>
      <x:c r="K57" s="22" t="str">
        <x:v>令和2年度短答（TAC過去問）／【特許・実用新案】18 2／スライド97-98</x:v>
      </x:c>
      <x:c r="L57" s="22" t="n">
        <x:v>0</x:v>
      </x:c>
      <x:c r="M57" s="22" t="n">
        <x:v>0</x:v>
      </x:c>
      <x:c r="N57" s="23" t="str">
        <x:f>IF(SUM(L57:M57)=0,"",L57/SUM(L57:M57))</x:f>
      </x:c>
      <x:c r="O57" s="22" t="str">
        <x:f>IF(SUM(L57:M57)=0,"NEW",IF(N57&gt;=0.9,"A",IF(N57&gt;=0.75,"B",IF(N57&gt;=0.5,"C","D"))))</x:f>
        <x:v>NEW</x:v>
      </x:c>
      <x:c r="P57" s="22" t="n">
        <x:v>0</x:v>
      </x:c>
      <x:c r="Q57" s="24"/>
      <x:c r="R57" s="24"/>
      <x:c r="S57" s="22" t="str">
        <x:v>原問：特許出願の審査及び出願公開等に関し、次のうち、誤っているものは、どれか。（ただし書省略）
【要確認】元スライド98の解説は設問内容を肯定していますが、末尾に「本枝は正しい」との明示文がありません。このExcelでは解説内容に基づき○としています。</x:v>
      </x:c>
    </x:row>
    <x:row r="58">
      <x:c r="A58" s="22" t="str">
        <x:v>R02-PU18-3</x:v>
      </x:c>
      <x:c r="B58" s="22" t="str">
        <x:v>特許・実用新案</x:v>
      </x:c>
      <x:c r="C58" s="22" t="str">
        <x:v>特許出願の審査及び出願公開等</x:v>
      </x:c>
      <x:c r="D58" s="22" t="str">
        <x:v>特許出願の審査及び出願公開等／3</x:v>
      </x:c>
      <x:c r="E58" s="22" t="str">
        <x:v>○×</x:v>
      </x:c>
      <x:c r="F58" s="22" t="str">
        <x:v>特許出願Ａについて、出願審査の請求をすることができる期間内に出願審査の請求がなかったため、出願Ａが取り下げられたものとみなされた旨が掲載された特許公報が発行された。その後、当該期間内に出願審査の請求ができなかったことについて正当な理由があるとして、出願審査の請求がされ、出願Ａは、特許権の設定登録がされた。この場合において、出願Ａが取り下げられたものとみなされた旨が掲載された特許公報の発行後、出願Ａについて出願審査の請求があった旨が掲載された特許公報の発行前に、善意に日本国内において当該発明の実施である事業を開始した者は、その実施をしている発明及び事業の目的の範囲内において、その特許権について通常実施権を有する。</x:v>
      </x:c>
      <x:c r="G58" s="22" t="str">
        <x:v>○</x:v>
      </x:c>
      <x:c r="H58" s="22" t="str">
        <x:v>特許出願Ａは、取り下げたものとみなされ（特４８条の３第４項）、期間の徒過が故意によるものであった場合を除き、経済産業省令で定める期間内に限り、経済産業省令で定めるところにより、出願審査の請求がされ（同５項）、特許権の設定の登録がされた。したがって、①取り下げられたものとみなされた旨が掲載された特許公報の発行後、②その特許出願について同５項の規定による出願審査の請求があった旨が掲載された特許公報の発行前に、③善意に日本国内において当該発明の実施である事業をしている者又はその事業の準備をしている者は、④その実施又は準備をしている発明及び事業の目的の範囲内において、その特許権について通常実施権を有する（同８項）。よって、本枝は正しい。</x:v>
      </x:c>
      <x:c r="I58" s="22" t="str">
        <x:v>特４８条の３第４項</x:v>
      </x:c>
      <x:c r="J58" s="22" t="str"/>
      <x:c r="K58" s="22" t="str">
        <x:v>令和2年度短答（TAC過去問）／【特許・実用新案】18 3／スライド99-100</x:v>
      </x:c>
      <x:c r="L58" s="22" t="n">
        <x:v>0</x:v>
      </x:c>
      <x:c r="M58" s="22" t="n">
        <x:v>0</x:v>
      </x:c>
      <x:c r="N58" s="23" t="str">
        <x:f>IF(SUM(L58:M58)=0,"",L58/SUM(L58:M58))</x:f>
      </x:c>
      <x:c r="O58" s="22" t="str">
        <x:f>IF(SUM(L58:M58)=0,"NEW",IF(N58&gt;=0.9,"A",IF(N58&gt;=0.75,"B",IF(N58&gt;=0.5,"C","D"))))</x:f>
        <x:v>NEW</x:v>
      </x:c>
      <x:c r="P58" s="22" t="n">
        <x:v>0</x:v>
      </x:c>
      <x:c r="Q58" s="24"/>
      <x:c r="R58" s="24"/>
      <x:c r="S58" s="22" t="str">
        <x:v>原問：特許出願の審査及び出願公開等に関し、次のうち、誤っているものは、どれか。（ただし書省略）</x:v>
      </x:c>
    </x:row>
    <x:row r="59">
      <x:c r="A59" s="22" t="str">
        <x:v>R02-PU18-4</x:v>
      </x:c>
      <x:c r="B59" s="22" t="str">
        <x:v>特許・実用新案</x:v>
      </x:c>
      <x:c r="C59" s="22" t="str">
        <x:v>特許出願の審査及び出願公開等</x:v>
      </x:c>
      <x:c r="D59" s="22" t="str">
        <x:v>特許出願の審査及び出願公開等／4</x:v>
      </x:c>
      <x:c r="E59" s="22" t="str">
        <x:v>○×</x:v>
      </x:c>
      <x:c r="F59" s="22" t="str">
        <x:v>甲のした特許出願Ａについて、出願公開があった後、甲が出願Ａに係る発明イの内容を記載した書面を提示して、出願Ａに係る発明イを実施している第三者乙に対して警告をした場合であっても、乙が、出願Ａに係る発明イの内容を知らないで自ら発明イをし、出願Ａの出願の際現に日本国内において発明イの実施である事業の準備をしていたときは、出願Ａに係る特許権の設定の登録がされても、乙は補償金を支払う義務を負わないことがある。</x:v>
      </x:c>
      <x:c r="G59" s="22" t="str">
        <x:v>○</x:v>
      </x:c>
      <x:c r="H59" s="22" t="str">
        <x:v>乙は、①特許出願Ａに係る発明イの内容を知らないで自らその発明イをし、②特許出願Ａの際現に、③日本国内において、④その発明イの実施である事業の準備をしていることから、その実施又は準備をしている発明及び事業の目的の範囲内において、その特許出願に係る特許権について通常実施権を有する（特７９条）。したがって、乙は甲の特許権に対し先使用による通常実施権（特７９条）を有し、その特許奮に対して有効に対抗できる地位を有することにより、補償金（特６５条１項）を支払う羞務を負わないことがある（青本特６５条）。よって、本枝は正しい。</x:v>
      </x:c>
      <x:c r="I59" s="22" t="str">
        <x:v>特７９条、特６５条１項、特６５条</x:v>
      </x:c>
      <x:c r="J59" s="22" t="str"/>
      <x:c r="K59" s="22" t="str">
        <x:v>令和2年度短答（TAC過去問）／【特許・実用新案】18 4／スライド101</x:v>
      </x:c>
      <x:c r="L59" s="22" t="n">
        <x:v>0</x:v>
      </x:c>
      <x:c r="M59" s="22" t="n">
        <x:v>0</x:v>
      </x:c>
      <x:c r="N59" s="23" t="str">
        <x:f>IF(SUM(L59:M59)=0,"",L59/SUM(L59:M59))</x:f>
      </x:c>
      <x:c r="O59" s="22" t="str">
        <x:f>IF(SUM(L59:M59)=0,"NEW",IF(N59&gt;=0.9,"A",IF(N59&gt;=0.75,"B",IF(N59&gt;=0.5,"C","D"))))</x:f>
        <x:v>NEW</x:v>
      </x:c>
      <x:c r="P59" s="22" t="n">
        <x:v>0</x:v>
      </x:c>
      <x:c r="Q59" s="24"/>
      <x:c r="R59" s="24"/>
      <x:c r="S59" s="22" t="str">
        <x:v>原問：特許出願の審査及び出願公開等に関し、次のうち、誤っているものは、どれか。（ただし書省略）</x:v>
      </x:c>
    </x:row>
    <x:row r="60">
      <x:c r="A60" s="22" t="str">
        <x:v>R02-PU18-5</x:v>
      </x:c>
      <x:c r="B60" s="22" t="str">
        <x:v>特許・実用新案</x:v>
      </x:c>
      <x:c r="C60" s="22" t="str">
        <x:v>特許出願の審査及び出願公開等</x:v>
      </x:c>
      <x:c r="D60" s="22" t="str">
        <x:v>特許出願の審査及び出願公開等／5</x:v>
      </x:c>
      <x:c r="E60" s="22" t="str">
        <x:v>○×</x:v>
      </x:c>
      <x:c r="F60" s="22" t="str">
        <x:v>特許権者甲が乙に対して提起した、甲の保有する補償金請求権に基づく補償金請求訴訟において、乙が、甲から発明を実施した行為を組成したものとして主張された物又は方法の具体的態様を否認するとき、乙は、当該物又は方法に乙の営業秘密が含まれることを理由として、自己の行為の具体的態様を明らかにしなくても良い場合がある。</x:v>
      </x:c>
      <x:c r="G60" s="22" t="str">
        <x:v>○</x:v>
      </x:c>
      <x:c r="H60" s="22" t="str">
        <x:v>特許権又は専用実施権の侵害に係る訴訟において、特許権者甲が侵害の行為を組成したものとして主張する物又は方法の具体的態様を否認するとき、「相当な理由」があるときを除き、相手方乙は、自己の行為の具体的態様を明らかにしなければならない。「相当な理由」としては、①営業秘密が含まれていたり、②主張すべき理由が何もないようなとき等が考えられる（特１０４条の２ただし書、青本特１０４条の２）。
そして、この規定は補償金請求訴訟に準用されている（特６５条６項で準用する特１０４条の２ただし書）。
したがって、乙は、①を理由として、自己の行為の具体的態様を明らかにしなくてもよい場合がある。よって、本枝は正しい。</x:v>
      </x:c>
      <x:c r="I60" s="22" t="str">
        <x:v>特１０４条の２、特６５条６項</x:v>
      </x:c>
      <x:c r="J60" s="22" t="str"/>
      <x:c r="K60" s="22" t="str">
        <x:v>令和2年度短答（TAC過去問）／【特許・実用新案】18 5／スライド102</x:v>
      </x:c>
      <x:c r="L60" s="22" t="n">
        <x:v>0</x:v>
      </x:c>
      <x:c r="M60" s="22" t="n">
        <x:v>0</x:v>
      </x:c>
      <x:c r="N60" s="23" t="str">
        <x:f>IF(SUM(L60:M60)=0,"",L60/SUM(L60:M60))</x:f>
      </x:c>
      <x:c r="O60" s="22" t="str">
        <x:f>IF(SUM(L60:M60)=0,"NEW",IF(N60&gt;=0.9,"A",IF(N60&gt;=0.75,"B",IF(N60&gt;=0.5,"C","D"))))</x:f>
        <x:v>NEW</x:v>
      </x:c>
      <x:c r="P60" s="22" t="n">
        <x:v>0</x:v>
      </x:c>
      <x:c r="Q60" s="24"/>
      <x:c r="R60" s="24"/>
      <x:c r="S60" s="22" t="str">
        <x:v>原問：特許出願の審査及び出願公開等に関し、次のうち、誤っているものは、どれか。（ただし書省略）</x:v>
      </x:c>
    </x:row>
    <x:row r="61">
      <x:c r="A61" s="22" t="str">
        <x:v>R02-PU19-ロ</x:v>
      </x:c>
      <x:c r="B61" s="22" t="str">
        <x:v>特許・実用新案</x:v>
      </x:c>
      <x:c r="C61" s="22" t="str">
        <x:v>特許法に規定する実施権等</x:v>
      </x:c>
      <x:c r="D61" s="22" t="str">
        <x:v>特許法に規定する実施権等／（ロ）</x:v>
      </x:c>
      <x:c r="E61" s="22" t="str">
        <x:v>○×</x:v>
      </x:c>
      <x:c r="F61" s="22" t="str">
        <x:v>専用実施権者は、その専用実施権を放棄する場合、専用実施権についての通常実施権者があるときは、その者の承諾を得なければならないが、特許権者の承諾を得る必要はない。</x:v>
      </x:c>
      <x:c r="G61" s="22" t="str">
        <x:v>○</x:v>
      </x:c>
      <x:c r="H61" s="22" t="str">
        <x:v>専用実施権者は、①質権者又は②特７７条４項（専用実施権についての通常実施権）の規定による通常実施権者があるときは、これらの者の承諾を得た場合に限り、その専用実施権を放棄することができる（特９７条２項）。質権者は担保を失い、通常実施権者は実施する権利を失って事業を継続できないばかりか、実施を続ける場合、特許権者から権利行使される可能性があるため、これら利害関係人の利益を保護する必要があるためである。したがって、特許権者の承諾を得る必要はない。よって、本枝は正しい。</x:v>
      </x:c>
      <x:c r="I61" s="22" t="str">
        <x:v>特７７条４項、特９７条２項</x:v>
      </x:c>
      <x:c r="J61" s="22" t="str"/>
      <x:c r="K61" s="22" t="str">
        <x:v>令和2年度短答（TAC過去問）／【特許・実用新案】19 （ロ）／スライド103</x:v>
      </x:c>
      <x:c r="L61" s="22" t="n">
        <x:v>0</x:v>
      </x:c>
      <x:c r="M61" s="22" t="n">
        <x:v>0</x:v>
      </x:c>
      <x:c r="N61" s="23" t="str">
        <x:f>IF(SUM(L61:M61)=0,"",L61/SUM(L61:M61))</x:f>
      </x:c>
      <x:c r="O61" s="22" t="str">
        <x:f>IF(SUM(L61:M61)=0,"NEW",IF(N61&gt;=0.9,"A",IF(N61&gt;=0.75,"B",IF(N61&gt;=0.5,"C","D"))))</x:f>
        <x:v>NEW</x:v>
      </x:c>
      <x:c r="P61" s="22" t="n">
        <x:v>0</x:v>
      </x:c>
      <x:c r="Q61" s="24"/>
      <x:c r="R61" s="24"/>
      <x:c r="S61" s="22" t="str">
        <x:v>原問：特許法に規定する実施権等に関し、次の（イ）～（ホ）のうち、正しいものは、いくつあるか。</x:v>
      </x:c>
    </x:row>
    <x:row r="62">
      <x:c r="A62" s="22" t="str">
        <x:v>R02-PU19-ホ</x:v>
      </x:c>
      <x:c r="B62" s="22" t="str">
        <x:v>特許・実用新案</x:v>
      </x:c>
      <x:c r="C62" s="22" t="str">
        <x:v>特許法に規定する実施権等</x:v>
      </x:c>
      <x:c r="D62" s="22" t="str">
        <x:v>特許法に規定する実施権等／（ホ）</x:v>
      </x:c>
      <x:c r="E62" s="22" t="str">
        <x:v>○×</x:v>
      </x:c>
      <x:c r="F62" s="22" t="str">
        <x:v>特許権者甲が、特許法第９２条に基づき、自己の特許権Ａに係る特許発明の実施をするための通常実施権の設定の裁定により、乙の特許権Ｂの通常実施権の設定を受けて、特許権Ａに係る特許発明の実施の事業を行った。甲の特許権Ａが、特許権Ａに係る特許発明の実施の事業と分離して丙に移転する場合は、特許権Ｂについての甲の通常実施権も丙に移転する。</x:v>
      </x:c>
      <x:c r="G62" s="22" t="str">
        <x:v>×</x:v>
      </x:c>
      <x:c r="H62" s="22" t="str">
        <x:v>甲の裁定による通常実施権（特９２条３項）は、①その通常実施権者（甲）の当該特許権が実施の事業とともに移転したときはこれらに従って移転し、②その特許権が実施の事業と分離して移転したとき、又は消滅したときは消滅する（特９４条４項）。本問では、②に該当し、特許権Ｂについての甲の通常実施権は消滅する。
本項は、平成６年の一部改正により自己の特許発明、登録実用新案又は登録意匠を実施するための通常実施権の移転に関する要件をＴＲＩＰＳ協定３１条⒠及び⒧ⅲの規定に合致するよう改正したものである。すなわち、強制実施権等は、原則として（当該強制実施権を享受する企業または営業の一部とともに譲渡する場合を除くほか）譲渡できない（ＴＲＩＰＳ協定３１条⒠）。
本問では、②に該当し、特許権Ｂについての甲の通常実施権は消滅する。よって、本枝は誤り。</x:v>
      </x:c>
      <x:c r="I62" s="22" t="str">
        <x:v>特９２条３項、特９４条４項</x:v>
      </x:c>
      <x:c r="J62" s="22" t="str"/>
      <x:c r="K62" s="22" t="str">
        <x:v>令和2年度短答（TAC過去問）／【特許・実用新案】19 （ホ）／スライド104-105</x:v>
      </x:c>
      <x:c r="L62" s="22" t="n">
        <x:v>0</x:v>
      </x:c>
      <x:c r="M62" s="22" t="n">
        <x:v>0</x:v>
      </x:c>
      <x:c r="N62" s="23" t="str">
        <x:f>IF(SUM(L62:M62)=0,"",L62/SUM(L62:M62))</x:f>
      </x:c>
      <x:c r="O62" s="22" t="str">
        <x:f>IF(SUM(L62:M62)=0,"NEW",IF(N62&gt;=0.9,"A",IF(N62&gt;=0.75,"B",IF(N62&gt;=0.5,"C","D"))))</x:f>
        <x:v>NEW</x:v>
      </x:c>
      <x:c r="P62" s="22" t="n">
        <x:v>0</x:v>
      </x:c>
      <x:c r="Q62" s="24"/>
      <x:c r="R62" s="24"/>
      <x:c r="S62" s="22" t="str">
        <x:v>原問：特許法に規定する実施権等に関し、次の（イ）～（ホ）のうち、正しいものは、いくつあるか。</x:v>
      </x:c>
    </x:row>
    <x:row r="63">
      <x:c r="A63" s="22" t="str">
        <x:v>R02-PU20-イ</x:v>
      </x:c>
      <x:c r="B63" s="22" t="str">
        <x:v>特許・実用新案</x:v>
      </x:c>
      <x:c r="C63" s="22" t="str">
        <x:v>特許法に規定する審判</x:v>
      </x:c>
      <x:c r="D63" s="22" t="str">
        <x:v>特許法に規定する審判／（イ）</x:v>
      </x:c>
      <x:c r="E63" s="22" t="str">
        <x:v>○×</x:v>
      </x:c>
      <x:c r="F63" s="22" t="str">
        <x:v>２の請求項に係る特許について、甲が請求項１に対して特許無効審判を請求するとともに刊行物ａを提出して新規性欠如を主張し、乙が請求項１の記載を引用しない請求項２に対して別の特許無効審判を請求するとともに刊行物ｂを提出して新規性欠如を主張した場合、審理を併合して、請求項１及び請求項２に対して、刊行物ａに記載の発明及び刊行物ｂに記載の発明に基づく進歩性欠如の無効理由について審理するときがある。</x:v>
      </x:c>
      <x:c r="G63" s="22" t="str">
        <x:v>○</x:v>
      </x:c>
      <x:c r="H63" s="22" t="str">
        <x:v>本問においては、引用関係にない請求項1と請求項2は別個の特許権であるが（特１８５条）、当事者の①双方又は②一方が同一である二以上の審判については、その審理の併合をすることができる（特１５４条１項）。すなわち、併合については人的要件のみ求められる。本問では、②に該当し、併合することができる（青本特１５４条）。
また、併合前にそれぞれの審判事件において提出又は提示された書類その他の物件、証拠方法等は、審理を併合された各審判事件の審理において利用できる（審判便覧５１－０９の５．（６））。すなわち、全く別の請求項に対する無効審判の併合が認められる最大の理由は、「証拠の相互利用（証拠の共通）」による真実発見と審理の効率化にある。
さらに、審判においては、当事者又は参加人が申し立てない理由についても、審理することができる（特１５３条１項）。
したがって、請求項１及び請求項２に対して、刊行物（ａ及びｂ）の記載に基づいて進歩性欠如の無効理由について審理することができる。よって、本枝は正しい。</x:v>
      </x:c>
      <x:c r="I63" s="22" t="str">
        <x:v>特１８５条、特１５４条１項、特１５４条、特１５３条１項</x:v>
      </x:c>
      <x:c r="J63" s="22" t="str"/>
      <x:c r="K63" s="22" t="str">
        <x:v>令和2年度短答（TAC過去問）／【特許・実用新案】20 （イ）／スライド107-108</x:v>
      </x:c>
      <x:c r="L63" s="22" t="n">
        <x:v>0</x:v>
      </x:c>
      <x:c r="M63" s="22" t="n">
        <x:v>0</x:v>
      </x:c>
      <x:c r="N63" s="23" t="str">
        <x:f>IF(SUM(L63:M63)=0,"",L63/SUM(L63:M63))</x:f>
      </x:c>
      <x:c r="O63" s="22" t="str">
        <x:f>IF(SUM(L63:M63)=0,"NEW",IF(N63&gt;=0.9,"A",IF(N63&gt;=0.75,"B",IF(N63&gt;=0.5,"C","D"))))</x:f>
        <x:v>NEW</x:v>
      </x:c>
      <x:c r="P63" s="22" t="n">
        <x:v>0</x:v>
      </x:c>
      <x:c r="Q63" s="24"/>
      <x:c r="R63" s="24"/>
      <x:c r="S63" s="22" t="str">
        <x:v>原問：特許法に規定する審判に関し、次の（イ）～（ホ）のうち、正しいものは、いくつあるか。</x:v>
      </x:c>
    </x:row>
    <x:row r="64">
      <x:c r="A64" s="22" t="str">
        <x:v>R02-PU20-ロ</x:v>
      </x:c>
      <x:c r="B64" s="22" t="str">
        <x:v>特許・実用新案</x:v>
      </x:c>
      <x:c r="C64" s="22" t="str">
        <x:v>特許法に規定する審判</x:v>
      </x:c>
      <x:c r="D64" s="22" t="str">
        <x:v>特許法に規定する審判／（ロ）</x:v>
      </x:c>
      <x:c r="E64" s="22" t="str">
        <x:v>○×</x:v>
      </x:c>
      <x:c r="F64" s="22" t="str">
        <x:v>特許無効審判において、被請求人が審判請求書の副本の送達に伴い指定された答弁書の提出期間内に一群の請求項に対する訂正の請求書を提出し、その後当該提出期間内に別の一群の請求項に対する訂正の請求書を提出した。この場合、先にした訂正の請求と後にした訂正の請求の両者がともに認められることがある。</x:v>
      </x:c>
      <x:c r="G64" s="22" t="str">
        <x:v>×</x:v>
      </x:c>
      <x:c r="H64" s="22" t="str">
        <x:v>特許無効審判の被請求人により、所定の期間内に訂正の請求がされた場合（特１３４条の２第１項）において、その審判事件において先にした訂正の請求があるときは、当該先の請求は、取り下げられたものとみなす（特１３４条の２条６項）。複数の訂正請求の間に矛盾がある場合には、後の訂正請求が特許権者の意思を最も反映しているという前提のもと、このような規定とした（平成２６年改正（特許異議の申立て制度導入時）の公式解説）。これにより、手続の煩雑さを回避するためである（青本同項）。したがって、先にした訂正の請求と後にした訂正の請求の両方がともに認められることはない。よって、本枝は誤り。</x:v>
      </x:c>
      <x:c r="I64" s="22" t="str">
        <x:v>特１３４条の２第１項、特１３４条の２</x:v>
      </x:c>
      <x:c r="J64" s="22" t="str"/>
      <x:c r="K64" s="22" t="str">
        <x:v>令和2年度短答（TAC過去問）／【特許・実用新案】20 （ロ）／スライド109</x:v>
      </x:c>
      <x:c r="L64" s="22" t="n">
        <x:v>0</x:v>
      </x:c>
      <x:c r="M64" s="22" t="n">
        <x:v>0</x:v>
      </x:c>
      <x:c r="N64" s="23" t="str">
        <x:f>IF(SUM(L64:M64)=0,"",L64/SUM(L64:M64))</x:f>
      </x:c>
      <x:c r="O64" s="22" t="str">
        <x:f>IF(SUM(L64:M64)=0,"NEW",IF(N64&gt;=0.9,"A",IF(N64&gt;=0.75,"B",IF(N64&gt;=0.5,"C","D"))))</x:f>
        <x:v>NEW</x:v>
      </x:c>
      <x:c r="P64" s="22" t="n">
        <x:v>0</x:v>
      </x:c>
      <x:c r="Q64" s="24"/>
      <x:c r="R64" s="24"/>
      <x:c r="S64" s="22" t="str">
        <x:v>原問：特許法に規定する審判に関し、次の（イ）～（ホ）のうち、正しいものは、いくつあるか。</x:v>
      </x:c>
    </x:row>
    <x:row r="65">
      <x:c r="A65" s="22" t="str">
        <x:v>R02-PU20-ハ</x:v>
      </x:c>
      <x:c r="B65" s="22" t="str">
        <x:v>特許・実用新案</x:v>
      </x:c>
      <x:c r="C65" s="22" t="str">
        <x:v>特許法に規定する審判</x:v>
      </x:c>
      <x:c r="D65" s="22" t="str">
        <x:v>特許法に規定する審判／（ハ）</x:v>
      </x:c>
      <x:c r="E65" s="22" t="str">
        <x:v>○×</x:v>
      </x:c>
      <x:c r="F65" s="22" t="str">
        <x:v>特許無効審判の審決（審判の請求に理由がないとするものに限る。）に対する取消しの判決が確定し、審理を開始するときは、その判決の確定の日から一週間以内に限り、被請求人は、願書に添付した明細書、特許請求の範囲又は図面の訂正を請求することができる。</x:v>
      </x:c>
      <x:c r="G65" s="22" t="str">
        <x:v>×</x:v>
      </x:c>
      <x:c r="H65" s="22" t="str">
        <x:v>審判長は、取消しの判決が確定し、審理を開始するときは、その判決の確定の日から一週間以内に「被請求人から申立てがあった場合に限り」、被請求人に対し、願書に添付した明細書等の訂正を請求するための相当の期間を指定することができる（特１３４条の３）。従って、確定の日から一週間以内に限り訂正の請求ができるわけではない。よって、本枝は誤り。
※正しく記憶しておかないと紛らわしい問題</x:v>
      </x:c>
      <x:c r="I65" s="22" t="str">
        <x:v>特１３４条の３</x:v>
      </x:c>
      <x:c r="J65" s="22" t="str"/>
      <x:c r="K65" s="22" t="str">
        <x:v>令和2年度短答（TAC過去問）／【特許・実用新案】20 （ハ）／スライド110</x:v>
      </x:c>
      <x:c r="L65" s="22" t="n">
        <x:v>0</x:v>
      </x:c>
      <x:c r="M65" s="22" t="n">
        <x:v>0</x:v>
      </x:c>
      <x:c r="N65" s="23" t="str">
        <x:f>IF(SUM(L65:M65)=0,"",L65/SUM(L65:M65))</x:f>
      </x:c>
      <x:c r="O65" s="22" t="str">
        <x:f>IF(SUM(L65:M65)=0,"NEW",IF(N65&gt;=0.9,"A",IF(N65&gt;=0.75,"B",IF(N65&gt;=0.5,"C","D"))))</x:f>
        <x:v>NEW</x:v>
      </x:c>
      <x:c r="P65" s="22" t="n">
        <x:v>0</x:v>
      </x:c>
      <x:c r="Q65" s="24"/>
      <x:c r="R65" s="24"/>
      <x:c r="S65" s="22" t="str">
        <x:v>原問：特許法に規定する審判に関し、次の（イ）～（ホ）のうち、正しいものは、いくつあるか。</x:v>
      </x:c>
    </x:row>
    <x:row r="66">
      <x:c r="A66" s="22" t="str">
        <x:v>R02-PU20-ニ</x:v>
      </x:c>
      <x:c r="B66" s="22" t="str">
        <x:v>特許・実用新案</x:v>
      </x:c>
      <x:c r="C66" s="22" t="str">
        <x:v>特許法に規定する審判</x:v>
      </x:c>
      <x:c r="D66" s="22" t="str">
        <x:v>特許法に規定する審判／（ニ）</x:v>
      </x:c>
      <x:c r="E66" s="22" t="str">
        <x:v>○×</x:v>
      </x:c>
      <x:c r="F66" s="22" t="str">
        <x:v>審判事件において、審判請求人の子の離婚した元の配偶者が当該審判事件の審判官である場合、当該審判官はそのことを理由として職務の執行から除斥されることはない。</x:v>
      </x:c>
      <x:c r="G66" s="22" t="str">
        <x:v>×</x:v>
      </x:c>
      <x:c r="H66" s="22" t="str">
        <x:v>審判官は、審判官が事件の当事者、参加人若しくは特許異議申立人の四親等内の血族、三親等内の姻族若しくは同居の親族であるとき、又はあったとき、その職務の執行から除斥される（特１３９条２号）。当該審判事件の審判官は三親等内の姻族であったときに該当し、除斥される。よって、本枝は誤り。
【参考】
子の配偶者は一親等の姻族にあたり（民７２６条１項）、姻族関係は離婚により終了する（民７２８条１項）。</x:v>
      </x:c>
      <x:c r="I66" s="22" t="str">
        <x:v>特１３９条２号</x:v>
      </x:c>
      <x:c r="J66" s="22" t="str"/>
      <x:c r="K66" s="22" t="str">
        <x:v>令和2年度短答（TAC過去問）／【特許・実用新案】20 （ニ）／スライド111</x:v>
      </x:c>
      <x:c r="L66" s="22" t="n">
        <x:v>0</x:v>
      </x:c>
      <x:c r="M66" s="22" t="n">
        <x:v>0</x:v>
      </x:c>
      <x:c r="N66" s="23" t="str">
        <x:f>IF(SUM(L66:M66)=0,"",L66/SUM(L66:M66))</x:f>
      </x:c>
      <x:c r="O66" s="22" t="str">
        <x:f>IF(SUM(L66:M66)=0,"NEW",IF(N66&gt;=0.9,"A",IF(N66&gt;=0.75,"B",IF(N66&gt;=0.5,"C","D"))))</x:f>
        <x:v>NEW</x:v>
      </x:c>
      <x:c r="P66" s="22" t="n">
        <x:v>0</x:v>
      </x:c>
      <x:c r="Q66" s="24"/>
      <x:c r="R66" s="24"/>
      <x:c r="S66" s="22" t="str">
        <x:v>原問：特許法に規定する審判に関し、次の（イ）～（ホ）のうち、正しいものは、いくつあるか。</x:v>
      </x:c>
    </x:row>
    <x:row r="67">
      <x:c r="A67" s="22" t="str">
        <x:v>R02-PU20-ホ</x:v>
      </x:c>
      <x:c r="B67" s="22" t="str">
        <x:v>特許・実用新案</x:v>
      </x:c>
      <x:c r="C67" s="22" t="str">
        <x:v>特許法に規定する審判</x:v>
      </x:c>
      <x:c r="D67" s="22" t="str">
        <x:v>特許法に規定する審判／（ホ）</x:v>
      </x:c>
      <x:c r="E67" s="22" t="str">
        <x:v>○×</x:v>
      </x:c>
      <x:c r="F67" s="22" t="str">
        <x:v>特許無効審判において、参加の申請があった場合は、当事者が参加について異議を述べたときに限り参加の許否の決定をする。</x:v>
      </x:c>
      <x:c r="G67" s="22" t="str">
        <x:v>×</x:v>
      </x:c>
      <x:c r="H67" s="22" t="str">
        <x:v>参加の申請があったときは、その申請をした者が参加しようとする審判の審判官が審判により決定をする（特１４９条３項）。民事訴訟法においては当事者が参加について異議を述べたときに限りその許否を決定するものとされているが（同法４４条）、特許法においては、当事者からの異議の申立ての有無に関わりなく決定しなければならない（青本特１４９条）。
民事訴訟では参加は私人間紛争に第三者が関与する場面であり、当事者自治が重視されるため、当事者が異議を述べた場合に限って裁判所が参加の許否を判断する。
他方、特許無効審判は、当事者間の争いにとどまらず、無効な特許を排除して公益を確保する機能を有し、審判官には職権による無効理由の審理など強い職権が認められている。したがって、参加要件（請求人適格や利害関係の有無）は当事者の意思ではなく審判官が職権で判断すべき事項であり、特許法１４９条３項は、当事者の異議の有無にかかわらず参加の許否を決定するものとしている。よって、本枝は誤り。</x:v>
      </x:c>
      <x:c r="I67" s="22" t="str">
        <x:v>特１４９条３項、特１４９条</x:v>
      </x:c>
      <x:c r="J67" s="22" t="str"/>
      <x:c r="K67" s="22" t="str">
        <x:v>令和2年度短答（TAC過去問）／【特許・実用新案】20 （ホ）／スライド113</x:v>
      </x:c>
      <x:c r="L67" s="22" t="n">
        <x:v>0</x:v>
      </x:c>
      <x:c r="M67" s="22" t="n">
        <x:v>0</x:v>
      </x:c>
      <x:c r="N67" s="23" t="str">
        <x:f>IF(SUM(L67:M67)=0,"",L67/SUM(L67:M67))</x:f>
      </x:c>
      <x:c r="O67" s="22" t="str">
        <x:f>IF(SUM(L67:M67)=0,"NEW",IF(N67&gt;=0.9,"A",IF(N67&gt;=0.75,"B",IF(N67&gt;=0.5,"C","D"))))</x:f>
        <x:v>NEW</x:v>
      </x:c>
      <x:c r="P67" s="22" t="n">
        <x:v>0</x:v>
      </x:c>
      <x:c r="Q67" s="24"/>
      <x:c r="R67" s="24"/>
      <x:c r="S67" s="22" t="str">
        <x:v>原問：特許法に規定する審判に関し、次の（イ）～（ホ）のうち、正しいものは、いくつあるか。</x:v>
      </x:c>
    </x:row>
    <x:row r="68">
      <x:c r="A68" s="22" t="str">
        <x:v>R02-D02-1</x:v>
      </x:c>
      <x:c r="B68" s="22" t="str">
        <x:v>意匠</x:v>
      </x:c>
      <x:c r="C68" s="22" t="str">
        <x:v>秘密意匠</x:v>
      </x:c>
      <x:c r="D68" s="22" t="str">
        <x:v>秘密意匠／1</x:v>
      </x:c>
      <x:c r="E68" s="22" t="str">
        <x:v>○×</x:v>
      </x:c>
      <x:c r="F68" s="22" t="str">
        <x:v>特許出願を意匠登録出願に変更した場合、当該特許出願が出願公開されていたときは、その意匠登録出願に係る意匠を秘密にすることを請求できる場合はない。</x:v>
      </x:c>
      <x:c r="G68" s="22" t="str">
        <x:v>×</x:v>
      </x:c>
      <x:c r="H68" s="22" t="str">
        <x:v>秘密意匠の請求をしようとする者は、所定の書面を「意匠登録出願と同時に」、又は「意４２条１項の規定による第１年分の登録料の納付と同時に」特許庁長官に提出しなければならない（意１４条２項）。特許出願を意匠登録出願に変更した場合、当該意匠登録出願は、もとの特許出願の時にしたものとみなされるため（意１３条６項で準用する意１０条の２第２項）、「意匠登録出願と同時に」秘密意匠の請求をすることはできないが、「意４２条１項の規定による第１年分の登録料の納付と同時に」であれば当該意匠登録出願に係る意匠を秘密にすることを請求できる。また、変更前の特許出願が出願公開されていたときに、変更後の意匠登録出願に係る意匠につき秘密意匠の請求ができないとする規定も存在しない。よって、本枝は誤り。</x:v>
      </x:c>
      <x:c r="I68" s="22" t="str">
        <x:v>意４２条１項、意１４条２項、意１３条６項、意１０条の２第２項</x:v>
      </x:c>
      <x:c r="J68" s="22" t="str"/>
      <x:c r="K68" s="22" t="str">
        <x:v>令和2年度短答（TAC過去問）／【意匠】2 1／スライド114</x:v>
      </x:c>
      <x:c r="L68" s="22" t="n">
        <x:v>0</x:v>
      </x:c>
      <x:c r="M68" s="22" t="n">
        <x:v>0</x:v>
      </x:c>
      <x:c r="N68" s="23" t="str">
        <x:f>IF(SUM(L68:M68)=0,"",L68/SUM(L68:M68))</x:f>
      </x:c>
      <x:c r="O68" s="22" t="str">
        <x:f>IF(SUM(L68:M68)=0,"NEW",IF(N68&gt;=0.9,"A",IF(N68&gt;=0.75,"B",IF(N68&gt;=0.5,"C","D"))))</x:f>
        <x:v>NEW</x:v>
      </x:c>
      <x:c r="P68" s="22" t="n">
        <x:v>0</x:v>
      </x:c>
      <x:c r="Q68" s="24"/>
      <x:c r="R68" s="24"/>
      <x:c r="S68" s="22" t="str">
        <x:v>原問：秘密意匠に関し、次のうち、正しいものは、どれか。（ただし書省略）</x:v>
      </x:c>
    </x:row>
    <x:row r="69">
      <x:c r="A69" s="22" t="str">
        <x:v>R02-D02-2</x:v>
      </x:c>
      <x:c r="B69" s="22" t="str">
        <x:v>意匠</x:v>
      </x:c>
      <x:c r="C69" s="22" t="str">
        <x:v>秘密意匠</x:v>
      </x:c>
      <x:c r="D69" s="22" t="str">
        <x:v>秘密意匠／2</x:v>
      </x:c>
      <x:c r="E69" s="22" t="str">
        <x:v>○×</x:v>
      </x:c>
      <x:c r="F69" s="22" t="str">
        <x:v>意匠登録出願人は、出願と同時に、又は意匠権の設定の登録を受ける際の登録料の納付と同時に、意匠公報の発行の日から３年以内の期間を指定して、その期間その意匠を秘密にすることを請求することができる。</x:v>
      </x:c>
      <x:c r="G69" s="22" t="str">
        <x:v>×</x:v>
      </x:c>
      <x:c r="H69" s="22" t="str">
        <x:v>意匠登録出願人は、出願と同時に、又は第１年分の登録料の納付と同時に（意１４条２項）、「意匠権の設定の登録の日」から３年以内の期間を指定して、その期間その意匠を秘密にすることを請求することができる（意１４条１項）。これに対し、本枝は、「意匠公報の発行の日」から３年以内の期間を指定して、その期間その意匠を秘密にすることを請求することができる、としている。よって、本枝は誤り。</x:v>
      </x:c>
      <x:c r="I69" s="22" t="str">
        <x:v>意１４条２項、意１４条１項</x:v>
      </x:c>
      <x:c r="J69" s="22" t="str"/>
      <x:c r="K69" s="22" t="str">
        <x:v>令和2年度短答（TAC過去問）／【意匠】2 2／スライド115</x:v>
      </x:c>
      <x:c r="L69" s="22" t="n">
        <x:v>0</x:v>
      </x:c>
      <x:c r="M69" s="22" t="n">
        <x:v>0</x:v>
      </x:c>
      <x:c r="N69" s="23" t="str">
        <x:f>IF(SUM(L69:M69)=0,"",L69/SUM(L69:M69))</x:f>
      </x:c>
      <x:c r="O69" s="22" t="str">
        <x:f>IF(SUM(L69:M69)=0,"NEW",IF(N69&gt;=0.9,"A",IF(N69&gt;=0.75,"B",IF(N69&gt;=0.5,"C","D"))))</x:f>
        <x:v>NEW</x:v>
      </x:c>
      <x:c r="P69" s="22" t="n">
        <x:v>0</x:v>
      </x:c>
      <x:c r="Q69" s="24"/>
      <x:c r="R69" s="24"/>
      <x:c r="S69" s="22" t="str">
        <x:v>原問：秘密意匠に関し、次のうち、正しいものは、どれか。（ただし書省略）</x:v>
      </x:c>
    </x:row>
    <x:row r="70">
      <x:c r="A70" s="22" t="str">
        <x:v>R02-D02-5</x:v>
      </x:c>
      <x:c r="B70" s="22" t="str">
        <x:v>意匠</x:v>
      </x:c>
      <x:c r="C70" s="22" t="str">
        <x:v>秘密意匠</x:v>
      </x:c>
      <x:c r="D70" s="22" t="str">
        <x:v>秘密意匠／5</x:v>
      </x:c>
      <x:c r="E70" s="22" t="str">
        <x:v>○×</x:v>
      </x:c>
      <x:c r="F70" s="22" t="str">
        <x:v>国際意匠登録出願の出願人は、その意匠を我が国における秘密意匠とすることを、請求することができる。</x:v>
      </x:c>
      <x:c r="G70" s="22" t="str">
        <x:v>×</x:v>
      </x:c>
      <x:c r="H70" s="22" t="str">
        <x:v>国際意匠登録出願の出願人については、意１４条（秘密意匠）の規定は、適用しない（意６０条の９）。国際意匠登録出願は既に国際公表されており、その内容を秘密にすることはそもそも不可能なためである（青本意６０条の９）。したがって、国際意匠登録出願の出願人は、その意匠を我が国における秘密意匠とすることを、請求することができない。よって、本枝は誤り。
ｃｆ．
一方、優先権の主張を伴う出願については、秘密にすることを請求することができない旨の制限規定はない（意１４条参照）。特に優先権を主張しても出願日は遡及するものではないため（パリ４条Ｂ、同４条の２（５））、日本への出願と同時に秘密請求の手続をすることができ、また、第１年分の設定登録料の納付と同時に秘密請求の手続をすることもできる【意１４条②】。</x:v>
      </x:c>
      <x:c r="I70" s="22" t="str">
        <x:v>意１４条、意６０条の９、意１４条②、パリ４条</x:v>
      </x:c>
      <x:c r="J70" s="22" t="str"/>
      <x:c r="K70" s="22" t="str">
        <x:v>令和2年度短答（TAC過去問）／【意匠】2 5／スライド116</x:v>
      </x:c>
      <x:c r="L70" s="22" t="n">
        <x:v>0</x:v>
      </x:c>
      <x:c r="M70" s="22" t="n">
        <x:v>0</x:v>
      </x:c>
      <x:c r="N70" s="23" t="str">
        <x:f>IF(SUM(L70:M70)=0,"",L70/SUM(L70:M70))</x:f>
      </x:c>
      <x:c r="O70" s="22" t="str">
        <x:f>IF(SUM(L70:M70)=0,"NEW",IF(N70&gt;=0.9,"A",IF(N70&gt;=0.75,"B",IF(N70&gt;=0.5,"C","D"))))</x:f>
        <x:v>NEW</x:v>
      </x:c>
      <x:c r="P70" s="22" t="n">
        <x:v>0</x:v>
      </x:c>
      <x:c r="Q70" s="24"/>
      <x:c r="R70" s="24"/>
      <x:c r="S70" s="22" t="str">
        <x:v>原問：秘密意匠に関し、次のうち、正しいものは、どれか。（ただし書省略）</x:v>
      </x:c>
    </x:row>
    <x:row r="71">
      <x:c r="A71" s="22" t="str">
        <x:v>R02-D03-1</x:v>
      </x:c>
      <x:c r="B71" s="22" t="str">
        <x:v>意匠</x:v>
      </x:c>
      <x:c r="C71" s="22" t="str">
        <x:v>意匠法第３条第１項各号（新規性）及び意匠法第４条（意匠の新規性の喪失の例外）</x:v>
      </x:c>
      <x:c r="D71" s="22" t="str">
        <x:v>意匠法第３条第１項各号（新規性）及び意匠法第４条（意匠の新規性の喪失の例外）／1</x:v>
      </x:c>
      <x:c r="E71" s="22" t="str">
        <x:v>○×</x:v>
      </x:c>
      <x:c r="F71" s="22" t="str">
        <x:v>甲は、意匠イを自ら創作した後に意匠ロを自ら創作し、意匠ロのみ公開した。意匠イと意匠ロは類似するものであった。その後、甲は、意匠イに係る意匠登録出願Ａを行ったが、意匠イについては公開していなかったため、新規性の喪失の例外の規定の適用を受けるための手続は行っていない。Ａの出願後、意匠ロについて、その公開の１年以内に意匠イを本意匠とする関連意匠として意匠登録出願Ｂを行った。その際に新規性の喪失の例外の規定の適用を受けるために必要な手続をすれば、出願Ａ、出願Ｂ共に意匠登録を受けることができる場合がある。なお、出願Ａ、出願Ｂ以外に甲の出願はない。</x:v>
      </x:c>
      <x:c r="G71" s="22" t="str">
        <x:v>×</x:v>
      </x:c>
      <x:c r="H71" s="22" t="str">
        <x:v>甲は、意匠イに係る出願Ａの出願前に、意匠イに類似する意匠ロを公開している。そのため、意匠ロは、出願Ａの出願時点で新規性を喪失した意匠（意３条１項１号又は２号）となっており、甲は、意匠ロについて新規性の喪失の例外の規定の適用を受けるための手続（意４条２項・３項）をしなければ、意匠イに係る出願Ａは、類似する意匠ロが公知意匠となっていることを理由に拒絶される（意３条１項３号、意１７条１号）。したがって、出願Ａに係る意匠イにつき意匠登録を受けることができないため、出願Ａ、出願Ｂ共に意匠登録を受けることができる場合はない。よって、本枝は誤り。</x:v>
      </x:c>
      <x:c r="I71" s="22" t="str">
        <x:v>意３条１項１号、意４条２項、意３条１項３号、意１７条１号</x:v>
      </x:c>
      <x:c r="J71" s="22" t="str"/>
      <x:c r="K71" s="22" t="str">
        <x:v>令和2年度短答（TAC過去問）／【意匠】3 1／スライド117-118</x:v>
      </x:c>
      <x:c r="L71" s="22" t="n">
        <x:v>0</x:v>
      </x:c>
      <x:c r="M71" s="22" t="n">
        <x:v>0</x:v>
      </x:c>
      <x:c r="N71" s="23" t="str">
        <x:f>IF(SUM(L71:M71)=0,"",L71/SUM(L71:M71))</x:f>
      </x:c>
      <x:c r="O71" s="22" t="str">
        <x:f>IF(SUM(L71:M71)=0,"NEW",IF(N71&gt;=0.9,"A",IF(N71&gt;=0.75,"B",IF(N71&gt;=0.5,"C","D"))))</x:f>
        <x:v>NEW</x:v>
      </x:c>
      <x:c r="P71" s="22" t="n">
        <x:v>0</x:v>
      </x:c>
      <x:c r="Q71" s="24"/>
      <x:c r="R71" s="24"/>
      <x:c r="S71" s="22" t="str">
        <x:v>原問：意匠法第３条第１項各号（新規性）及び意匠法第４条（意匠の新規性の喪失の例外）に関し、次のうち、正しいものは、どれか。（ただし書省略）</x:v>
      </x:c>
    </x:row>
    <x:row r="72">
      <x:c r="A72" s="22" t="str">
        <x:v>R02-D03-3</x:v>
      </x:c>
      <x:c r="B72" s="22" t="str">
        <x:v>意匠</x:v>
      </x:c>
      <x:c r="C72" s="22" t="str">
        <x:v>意匠法第３条第１項各号（新規性）及び意匠法第４条（意匠の新規性の喪失の例外）</x:v>
      </x:c>
      <x:c r="D72" s="22" t="str">
        <x:v>意匠法第３条第１項各号（新規性）及び意匠法第４条（意匠の新規性の喪失の例外）／3</x:v>
      </x:c>
      <x:c r="E72" s="22" t="str">
        <x:v>○×</x:v>
      </x:c>
      <x:c r="F72" s="22" t="str">
        <x:v>意匠イについて意匠登録を受ける権利を有する甲が、展示会で、意匠イが掲載されたパンフレットを配布した。その後、甲は、別の展示会において、乙が独自に創作した意匠イと類似する意匠に係る物品が公開されていることを発見したが、そのパンフレットの配布からまだ１年を経過していないため、甲は、意匠イについて、新規性の喪失の例外の規定の適用を受けるために必要な手続をして意匠登録出願をすれば、意匠登録を受けることができる。</x:v>
      </x:c>
      <x:c r="G72" s="22" t="str">
        <x:v>×</x:v>
      </x:c>
      <x:c r="H72" s="22" t="str">
        <x:v>新規性の喪失の例外の規定（意４条）の適用を受けた場合の効果は、当該適用を受けた意匠を公知意匠とせず（意３条１項１号又は２号に該当するに至らなかったものとみなし）、当該適用を受けた意匠が存在することを理由として意３条１項各号および２項によって拒絶されない、というものである。本枝では、甲は、パンフレットを配布することにより自らが公開した意匠イにつき、パンフレットの配布の日から１年以内に出願すれば、新規性の喪失の例外の規定の適用を受けることができるが（意４条２項）、乙が独自に創作した意匠イと類似する意匠が公知意匠として存在するため、甲は、意匠イについて、新規性の喪失の例外の規定の適用を受けるために必要な手続をして意匠登録出願をしたとしても、意匠登録を受けることができない（意３条１項３号、意１７条１号）。よって、本枝は誤り。</x:v>
      </x:c>
      <x:c r="I72" s="22" t="str">
        <x:v>意４条、意３条１項１号、意３条１項、意４条２項、意３条１項３号、意１７条１号</x:v>
      </x:c>
      <x:c r="J72" s="22" t="str"/>
      <x:c r="K72" s="22" t="str">
        <x:v>令和2年度短答（TAC過去問）／【意匠】3 3／スライド119-120</x:v>
      </x:c>
      <x:c r="L72" s="22" t="n">
        <x:v>0</x:v>
      </x:c>
      <x:c r="M72" s="22" t="n">
        <x:v>0</x:v>
      </x:c>
      <x:c r="N72" s="23" t="str">
        <x:f>IF(SUM(L72:M72)=0,"",L72/SUM(L72:M72))</x:f>
      </x:c>
      <x:c r="O72" s="22" t="str">
        <x:f>IF(SUM(L72:M72)=0,"NEW",IF(N72&gt;=0.9,"A",IF(N72&gt;=0.75,"B",IF(N72&gt;=0.5,"C","D"))))</x:f>
        <x:v>NEW</x:v>
      </x:c>
      <x:c r="P72" s="22" t="n">
        <x:v>0</x:v>
      </x:c>
      <x:c r="Q72" s="24"/>
      <x:c r="R72" s="24"/>
      <x:c r="S72" s="22" t="str">
        <x:v>原問：意匠法第３条第１項各号（新規性）及び意匠法第４条（意匠の新規性の喪失の例外）に関し、次のうち、正しいものは、どれか。（ただし書省略）</x:v>
      </x:c>
    </x:row>
    <x:row r="73">
      <x:c r="A73" s="22" t="str">
        <x:v>R02-D04-1</x:v>
      </x:c>
      <x:c r="B73" s="22" t="str">
        <x:v>意匠</x:v>
      </x:c>
      <x:c r="C73" s="22" t="str">
        <x:v>意匠登録出願等</x:v>
      </x:c>
      <x:c r="D73" s="22" t="str">
        <x:v>意匠登録出願等／1</x:v>
      </x:c>
      <x:c r="E73" s="22" t="str">
        <x:v>○×</x:v>
      </x:c>
      <x:c r="F73" s="22" t="str">
        <x:v>機器がその機能を発揮した結果として表示される画像について意匠登録を受けようとする場合、願書の意匠に係る画像の用途の記載及び願書に添付した図面の記載によっては、その意匠の属する分野における通常の知識を有する者がその意匠に係る画像の大きさを理解することができないためその意匠を認識することができないときは、その意匠に係る画像の大きさを願書に記載しなければならない。</x:v>
      </x:c>
      <x:c r="G73" s="22" t="str">
        <x:v>×</x:v>
      </x:c>
      <x:c r="H73" s="22" t="str">
        <x:v>意６条１項３号の意匠に係る物品若しくは意匠に係る建築物の用途の記載又は願書に添付した図面、写真若しくはひな形によってはその意匠の属する分野における通常の知識を有する者がその意匠に係る「物品」又は「建築物」の材質又は大きさを理語することができないためその意匠を認識することができないときは、その意匠に係る「物品」又は「建築物」の材質又は大きさを願書に記載しなければならない（意６条３項）。「画像」については、その材質又は大きさを考慮する必要がないことから、規定されていない（青本意６条３項）。よって、本枝は誤り。</x:v>
      </x:c>
      <x:c r="I73" s="22" t="str">
        <x:v>意６条１項３号、意６条３項</x:v>
      </x:c>
      <x:c r="J73" s="22" t="str"/>
      <x:c r="K73" s="22" t="str">
        <x:v>令和2年度短答（TAC過去問）／【意匠】4 1／スライド121</x:v>
      </x:c>
      <x:c r="L73" s="22" t="n">
        <x:v>0</x:v>
      </x:c>
      <x:c r="M73" s="22" t="n">
        <x:v>0</x:v>
      </x:c>
      <x:c r="N73" s="23" t="str">
        <x:f>IF(SUM(L73:M73)=0,"",L73/SUM(L73:M73))</x:f>
      </x:c>
      <x:c r="O73" s="22" t="str">
        <x:f>IF(SUM(L73:M73)=0,"NEW",IF(N73&gt;=0.9,"A",IF(N73&gt;=0.75,"B",IF(N73&gt;=0.5,"C","D"))))</x:f>
        <x:v>NEW</x:v>
      </x:c>
      <x:c r="P73" s="22" t="n">
        <x:v>0</x:v>
      </x:c>
      <x:c r="Q73" s="24"/>
      <x:c r="R73" s="24"/>
      <x:c r="S73" s="22" t="str">
        <x:v>原問：意匠登録出願等に関し、次のうち、正しいものは、どれか。　（ただし書省略）</x:v>
      </x:c>
    </x:row>
    <x:row r="74">
      <x:c r="A74" s="22" t="str">
        <x:v>R02-D04-2</x:v>
      </x:c>
      <x:c r="B74" s="22" t="str">
        <x:v>意匠</x:v>
      </x:c>
      <x:c r="C74" s="22" t="str">
        <x:v>意匠登録出願等</x:v>
      </x:c>
      <x:c r="D74" s="22" t="str">
        <x:v>意匠登録出願等／2</x:v>
      </x:c>
      <x:c r="E74" s="22" t="str">
        <x:v>○×</x:v>
      </x:c>
      <x:c r="F74" s="22" t="str">
        <x:v>意匠登録出願の願書に添付した図面の記載が不正確であって、出願の意匠の属する分野における通常の知識を有する者がその意匠を実施することができる程度に明確かつ十分に記載されたものでなく、形状が特定できない場合、意匠法第６条に規定する要件を満たしていないことを理由とした拒絶をすべき旨の査定がなされることがある。</x:v>
      </x:c>
      <x:c r="G74" s="22" t="str">
        <x:v>×</x:v>
      </x:c>
      <x:c r="H74" s="22" t="str">
        <x:v>意匠登録を受けようとする意匠は、その意匠の属する分野における通常の知識に基づいて、出願当初の願書の記載及び願書に添付した図面等から具体的な一の意匠の内容が、直接的に導き出されなくてはならない（意匠審査基準第Ⅲ部第１章３．１）。したがって、本枝の場合、「意匠が具体的なものであること」の要件を満たしていないため、意３条１項注書に規定する工業上利用することができる意匠に該当しないとして拒絶される（意３条１項注書、意１７条１号）。
一方、意６条（意匠登録出願）は拒絶理由として列挙されていないため（意１７条各号）、意６条に規定する要件を満たしていないことを理由とした拒絶をすべき旨の査定がなされることはない。よって、本枝は誤り。</x:v>
      </x:c>
      <x:c r="I74" s="22" t="str">
        <x:v>意３条１項、意１７条１号、意６条、意１７条</x:v>
      </x:c>
      <x:c r="J74" s="22" t="str"/>
      <x:c r="K74" s="22" t="str">
        <x:v>令和2年度短答（TAC過去問）／【意匠】4 2／スライド122</x:v>
      </x:c>
      <x:c r="L74" s="22" t="n">
        <x:v>0</x:v>
      </x:c>
      <x:c r="M74" s="22" t="n">
        <x:v>0</x:v>
      </x:c>
      <x:c r="N74" s="23" t="str">
        <x:f>IF(SUM(L74:M74)=0,"",L74/SUM(L74:M74))</x:f>
      </x:c>
      <x:c r="O74" s="22" t="str">
        <x:f>IF(SUM(L74:M74)=0,"NEW",IF(N74&gt;=0.9,"A",IF(N74&gt;=0.75,"B",IF(N74&gt;=0.5,"C","D"))))</x:f>
        <x:v>NEW</x:v>
      </x:c>
      <x:c r="P74" s="22" t="n">
        <x:v>0</x:v>
      </x:c>
      <x:c r="Q74" s="24"/>
      <x:c r="R74" s="24"/>
      <x:c r="S74" s="22" t="str">
        <x:v>原問：意匠登録出願等に関し、次のうち、正しいものは、どれか。　（ただし書省略）</x:v>
      </x:c>
    </x:row>
    <x:row r="75">
      <x:c r="A75" s="22" t="str">
        <x:v>R02-D04-3</x:v>
      </x:c>
      <x:c r="B75" s="22" t="str">
        <x:v>意匠</x:v>
      </x:c>
      <x:c r="C75" s="22" t="str">
        <x:v>意匠登録出願等</x:v>
      </x:c>
      <x:c r="D75" s="22" t="str">
        <x:v>意匠登録出願等／3</x:v>
      </x:c>
      <x:c r="E75" s="22" t="str">
        <x:v>○×</x:v>
      </x:c>
      <x:c r="F75" s="22" t="str">
        <x:v>意匠登録を受けようとする意匠が「宝石箱」に係るものであり、全体が黒色であって、その上面の模様が立体的にあらわされている場合には、全部を黒色にあらわすとその立体的な模様があらわれないことになるので、図面には模様のみを黒であらわし、地の黒色は省略することができる。</x:v>
      </x:c>
      <x:c r="G75" s="22" t="str">
        <x:v>○</x:v>
      </x:c>
      <x:c r="H75" s="22" t="str">
        <x:v>意６条１項又は２項の規定により提出する図面、写真又はひな形にその意匠の色彩を付するときは、白色又は黒色のうち一色については、彩色を省略することができる（意６条５項）。黒色の物品の上に模様が立体的に表現されている場合、全部を黒色にすると模様が現れないことになるので、模様のみを黒で表現し、地の黒色は省略できることとされた（青本意６条５項）。よって、本枝は正しい。</x:v>
      </x:c>
      <x:c r="I75" s="22" t="str">
        <x:v>意６条１項、意６条５項</x:v>
      </x:c>
      <x:c r="J75" s="22" t="str"/>
      <x:c r="K75" s="22" t="str">
        <x:v>令和2年度短答（TAC過去問）／【意匠】4 3／スライド123</x:v>
      </x:c>
      <x:c r="L75" s="22" t="n">
        <x:v>0</x:v>
      </x:c>
      <x:c r="M75" s="22" t="n">
        <x:v>0</x:v>
      </x:c>
      <x:c r="N75" s="23" t="str">
        <x:f>IF(SUM(L75:M75)=0,"",L75/SUM(L75:M75))</x:f>
      </x:c>
      <x:c r="O75" s="22" t="str">
        <x:f>IF(SUM(L75:M75)=0,"NEW",IF(N75&gt;=0.9,"A",IF(N75&gt;=0.75,"B",IF(N75&gt;=0.5,"C","D"))))</x:f>
        <x:v>NEW</x:v>
      </x:c>
      <x:c r="P75" s="22" t="n">
        <x:v>0</x:v>
      </x:c>
      <x:c r="Q75" s="24"/>
      <x:c r="R75" s="24"/>
      <x:c r="S75" s="22" t="str">
        <x:v>原問：意匠登録出願等に関し、次のうち、正しいものは、どれか。　（ただし書省略）</x:v>
      </x:c>
    </x:row>
    <x:row r="76">
      <x:c r="A76" s="22" t="str">
        <x:v>R02-D04-4</x:v>
      </x:c>
      <x:c r="B76" s="22" t="str">
        <x:v>意匠</x:v>
      </x:c>
      <x:c r="C76" s="22" t="str">
        <x:v>意匠登録出願等</x:v>
      </x:c>
      <x:c r="D76" s="22" t="str">
        <x:v>意匠登録出願等／4</x:v>
      </x:c>
      <x:c r="E76" s="22" t="str">
        <x:v>○×</x:v>
      </x:c>
      <x:c r="F76" s="22" t="str">
        <x:v>意匠登録を受けようとする者は、ひな形又は見本の別を願書に記載することにより、図面に代えてその意匠をあらわしたいかなるひな形又は見本でも提出することができる。</x:v>
      </x:c>
      <x:c r="G76" s="22" t="str">
        <x:v>×</x:v>
      </x:c>
      <x:c r="H76" s="22" t="str">
        <x:v>「経済産業省令で定める場合」は、意６条１項の図面に代えて、意匠登録を受けようとする意匠を現わした写真、ひな形又は見本を提出することができる（意６条２項第１文）。この場合は、写真、ひな形又は見本の別を願書に記載しなければならない（意６条２項第２文）。ひな形又は見本の提出が認められるのは、「経済産業省令で定める場合」であって、いかなるひな形又は見本でも提出することができるわけではない。例えば、「こわれやすいもの」や「容易に変形又は変質するもの」は提出することができない、とされている（意施行規５条１項１号）。よって、本枝は誤り。</x:v>
      </x:c>
      <x:c r="I76" s="22" t="str">
        <x:v>意６条１項、意６条２項</x:v>
      </x:c>
      <x:c r="J76" s="22" t="str"/>
      <x:c r="K76" s="22" t="str">
        <x:v>令和2年度短答（TAC過去問）／【意匠】4 4／スライド124</x:v>
      </x:c>
      <x:c r="L76" s="22" t="n">
        <x:v>0</x:v>
      </x:c>
      <x:c r="M76" s="22" t="n">
        <x:v>0</x:v>
      </x:c>
      <x:c r="N76" s="23" t="str">
        <x:f>IF(SUM(L76:M76)=0,"",L76/SUM(L76:M76))</x:f>
      </x:c>
      <x:c r="O76" s="22" t="str">
        <x:f>IF(SUM(L76:M76)=0,"NEW",IF(N76&gt;=0.9,"A",IF(N76&gt;=0.75,"B",IF(N76&gt;=0.5,"C","D"))))</x:f>
        <x:v>NEW</x:v>
      </x:c>
      <x:c r="P76" s="22" t="n">
        <x:v>0</x:v>
      </x:c>
      <x:c r="Q76" s="24"/>
      <x:c r="R76" s="24"/>
      <x:c r="S76" s="22" t="str">
        <x:v>原問：意匠登録出願等に関し、次のうち、正しいものは、どれか。　（ただし書省略）</x:v>
      </x:c>
    </x:row>
    <x:row r="77">
      <x:c r="A77" s="22" t="str">
        <x:v>R02-D04-5</x:v>
      </x:c>
      <x:c r="B77" s="22" t="str">
        <x:v>意匠</x:v>
      </x:c>
      <x:c r="C77" s="22" t="str">
        <x:v>意匠登録出願等</x:v>
      </x:c>
      <x:c r="D77" s="22" t="str">
        <x:v>意匠登録出願等／5</x:v>
      </x:c>
      <x:c r="E77" s="22" t="str">
        <x:v>○×</x:v>
      </x:c>
      <x:c r="F77" s="22" t="str">
        <x:v>日本国民は、ジュネーブ改正協定の国際出願に際して、締約国である日本国の特許庁を通じて世界知的所有権機関（ＷＩＰＯ）国際事務局へ出願することが認められる（ジュネーブ改正協定第４条（１）（ａ））が、その手続にいかなる不備がある場合でも、日本国特許庁長官によって国際登録出願手続が却下されることはない。</x:v>
      </x:c>
      <x:c r="G77" s="22" t="str">
        <x:v>×</x:v>
      </x:c>
      <x:c r="H77" s="22" t="str">
        <x:v>日本国民は、特許庁長官にジュネーブ改正協定１条（ⅶ）に規定する国際出願（国際登録出願）をすることができる（意６０条の３第１項）。したがって、本枝の前段は正しい。そして、意６８条２項において準用する特１７条３項（３号に係る部分に限る。）及び１８条１項の規定は、国際登録出願に準用されている（意６０条の４）。すなわち、国際登録出願の出願人が送付手数料を納付しない場合は、特許庁長官による補正命令がなされ、補正命令に応じない場合には国際登録出願手続は却下されうる（青本意６０条の４）。よって、本枝は誤り。</x:v>
      </x:c>
      <x:c r="I77" s="22" t="str">
        <x:v>意６０条の３第１項、意６８条２項、特１７条３項、意６０条の４</x:v>
      </x:c>
      <x:c r="J77" s="22" t="str"/>
      <x:c r="K77" s="22" t="str">
        <x:v>令和2年度短答（TAC過去問）／【意匠】4 5／スライド125</x:v>
      </x:c>
      <x:c r="L77" s="22" t="n">
        <x:v>0</x:v>
      </x:c>
      <x:c r="M77" s="22" t="n">
        <x:v>0</x:v>
      </x:c>
      <x:c r="N77" s="23" t="str">
        <x:f>IF(SUM(L77:M77)=0,"",L77/SUM(L77:M77))</x:f>
      </x:c>
      <x:c r="O77" s="22" t="str">
        <x:f>IF(SUM(L77:M77)=0,"NEW",IF(N77&gt;=0.9,"A",IF(N77&gt;=0.75,"B",IF(N77&gt;=0.5,"C","D"))))</x:f>
        <x:v>NEW</x:v>
      </x:c>
      <x:c r="P77" s="22" t="n">
        <x:v>0</x:v>
      </x:c>
      <x:c r="Q77" s="24"/>
      <x:c r="R77" s="24"/>
      <x:c r="S77" s="22" t="str">
        <x:v>原問：意匠登録出願等に関し、次のうち、正しいものは、どれか。（ただし書省略）</x:v>
      </x:c>
    </x:row>
    <x:row r="78">
      <x:c r="A78" s="22" t="str">
        <x:v>R02-D05-1</x:v>
      </x:c>
      <x:c r="B78" s="22" t="str">
        <x:v>意匠</x:v>
      </x:c>
      <x:c r="C78" s="22" t="str">
        <x:v>意匠登録出願の補正、補正の却下</x:v>
      </x:c>
      <x:c r="D78" s="22" t="str">
        <x:v>意匠登録出願の補正、補正の却下／1</x:v>
      </x:c>
      <x:c r="E78" s="22" t="str">
        <x:v>○×</x:v>
      </x:c>
      <x:c r="F78" s="22" t="str">
        <x:v>拒絶査定不服審判においてした願書の記載又は願書に添付した図面等の補正が、これらの要旨を変更するものであるとして却下の決定があったとき、審判請求人が却下の決定の謄本の送達があった日から３月以内にその補正後の意匠について意匠法第１７条の３に規定する新たな意匠登録出願をすれば、その意匠登録出願は、その補正について手続補正書を提出した時にしたものとみなされる。</x:v>
      </x:c>
      <x:c r="G78" s="22" t="str">
        <x:v>×</x:v>
      </x:c>
      <x:c r="H78" s="22" t="str">
        <x:v>意１７条の３（補正後の意匠についての新出願）の規定は、拒絶査定不服審判に準用されているところ、意１７条の３第１項中「３月」とあるのは「３０日」と読み替えられている（意５０条１項で読み替えて準用する意１７条の３第１項）。
これは、意匠法での拒絶査定不服審判中に審判官によってなされた補正却下（５０条１項において準用する１７条の２第１項）に不服がある場合には、補正却下不服審判ではなく、東京高等裁判所に出訴することになるが（５９条１項）、この出訴期間については、拒絶査定不服審判においては拒絶審査と比べてより慎重な審理が行われているため、それに対して取消訴訟を行うかどうかの判断は比較的容易に行うことができると考えられることから、決定の謄本の送達があった日から３０日とされていることと、拒絶査定不服審判においてした補正の却下についての新出願ができる期間をそろえたものである。
すなわち、拒絶査定不服審判においてした願書の記載又は願書に添付した図面等の補正が、これらの要旨を変更するものであるとして却下の決定があったときは、審判請求人が却下の決定の謄本の送達があった日から「３０日」以内にその補正後の意匠について新たな意匠登録出願をしたときは、その意匠登録出願は、その補正について手続補正書を提出した時にしたものこみなされる。これに対し、本枝は、却下の決定の謄本の送達があった日から「３月」以内、としている。よって、本枝は誤り。</x:v>
      </x:c>
      <x:c r="I78" s="22" t="str">
        <x:v>意１７条の３、意１７条の３第１項、意５０条１項</x:v>
      </x:c>
      <x:c r="J78" s="22" t="str"/>
      <x:c r="K78" s="22" t="str">
        <x:v>令和2年度短答（TAC過去問）／【意匠】5 1／スライド126-127</x:v>
      </x:c>
      <x:c r="L78" s="22" t="n">
        <x:v>0</x:v>
      </x:c>
      <x:c r="M78" s="22" t="n">
        <x:v>0</x:v>
      </x:c>
      <x:c r="N78" s="23" t="str">
        <x:f>IF(SUM(L78:M78)=0,"",L78/SUM(L78:M78))</x:f>
      </x:c>
      <x:c r="O78" s="22" t="str">
        <x:f>IF(SUM(L78:M78)=0,"NEW",IF(N78&gt;=0.9,"A",IF(N78&gt;=0.75,"B",IF(N78&gt;=0.5,"C","D"))))</x:f>
        <x:v>NEW</x:v>
      </x:c>
      <x:c r="P78" s="22" t="n">
        <x:v>0</x:v>
      </x:c>
      <x:c r="Q78" s="24"/>
      <x:c r="R78" s="24"/>
      <x:c r="S78" s="22" t="str">
        <x:v>原問：意匠登録出願の補正、補正の却下に関し、次のうち、誤っているものは、どれか。（ただし書省略）</x:v>
      </x:c>
    </x:row>
    <x:row r="79">
      <x:c r="A79" s="22" t="str">
        <x:v>R02-D05-2</x:v>
      </x:c>
      <x:c r="B79" s="22" t="str">
        <x:v>意匠</x:v>
      </x:c>
      <x:c r="C79" s="22" t="str">
        <x:v>意匠登録出願の補正、補正の却下</x:v>
      </x:c>
      <x:c r="D79" s="22" t="str">
        <x:v>意匠登録出願の補正、補正の却下／2</x:v>
      </x:c>
      <x:c r="E79" s="22" t="str">
        <x:v>○×</x:v>
      </x:c>
      <x:c r="F79" s="22" t="str">
        <x:v>意匠登録出願についてした補正がその要旨を変更するものと意匠権の設定の登録後に認められる判断の対象は、願書における「意匠に係る物品又は意匠に係る建築物若しくは画像の用途」の記載又は願書に添付した「図面、写真、ひな形若しくは見本」に限られない。</x:v>
      </x:c>
      <x:c r="G79" s="22" t="str">
        <x:v>○</x:v>
      </x:c>
      <x:c r="H79" s="22" t="str">
        <x:v>「願書の記載」又は願書に添付した「図面、写真、ひな形若しくは見本」についてした補正がこれらの要旨を変更するものと意匠権の設定の登録があった後に認められたときは、その意匠登録出願は、その補正について手続補正書を提出した時にしたものとみなす（意９条の２）。
ここで、「願書の記載」とは、意６条１項１号及び２号に掲げる事項並びに同条２項の規定により記載した事項を除く、とされている（意９条の２かっこ書）。すなわち、「願書の記載」とは、願書中の「意匠に係る物品又は意匠に係る建築物若しくは画像の用途」、「意匠に係る物品の説明」、「意匠の説明」に記観されている事項のことである（青本意９条の２［字句の解釈］）。したがって、願書における「意匠に係る物品又は意匠に係る建築物若しくは画像の用途」の記載又は願書に添付した「図面、写真、ひな形若しくは見本」に限られず、「意匠に係る物品の説明」、「意匠の説明」を含む。よって、本枝は正しい。</x:v>
      </x:c>
      <x:c r="I79" s="22" t="str">
        <x:v>意９条の２、意６条１項１号</x:v>
      </x:c>
      <x:c r="J79" s="22" t="str"/>
      <x:c r="K79" s="22" t="str">
        <x:v>令和2年度短答（TAC過去問）／【意匠】5 2／スライド128</x:v>
      </x:c>
      <x:c r="L79" s="22" t="n">
        <x:v>0</x:v>
      </x:c>
      <x:c r="M79" s="22" t="n">
        <x:v>0</x:v>
      </x:c>
      <x:c r="N79" s="23" t="str">
        <x:f>IF(SUM(L79:M79)=0,"",L79/SUM(L79:M79))</x:f>
      </x:c>
      <x:c r="O79" s="22" t="str">
        <x:f>IF(SUM(L79:M79)=0,"NEW",IF(N79&gt;=0.9,"A",IF(N79&gt;=0.75,"B",IF(N79&gt;=0.5,"C","D"))))</x:f>
        <x:v>NEW</x:v>
      </x:c>
      <x:c r="P79" s="22" t="n">
        <x:v>0</x:v>
      </x:c>
      <x:c r="Q79" s="24"/>
      <x:c r="R79" s="24"/>
      <x:c r="S79" s="22" t="str">
        <x:v>原問：意匠登録出願の補正、補正の却下に関し、次のうち、誤っているものは、どれか。（ただし書省略）</x:v>
      </x:c>
    </x:row>
    <x:row r="80">
      <x:c r="A80" s="22" t="str">
        <x:v>R02-D05-4</x:v>
      </x:c>
      <x:c r="B80" s="22" t="str">
        <x:v>意匠</x:v>
      </x:c>
      <x:c r="C80" s="22" t="str">
        <x:v>意匠登録出願の補正、補正の却下</x:v>
      </x:c>
      <x:c r="D80" s="22" t="str">
        <x:v>意匠登録出願の補正、補正の却下／4</x:v>
      </x:c>
      <x:c r="E80" s="22" t="str">
        <x:v>○×</x:v>
      </x:c>
      <x:c r="F80" s="22" t="str">
        <x:v>意匠登録出願が、意匠法第３条柱書に規定する「工業上利用できる意匠」に該当しないとして拒絶理由の通知を受け、これに対応するための補正をした。当該補正に対し、当該意匠登録出願の願書の記載又は願書に添付した図面等の要旨を変更するものであることを理由として補正の却下の決定がなされた場合、当該意匠登録出願人には、要旨の変更に該当しない旨の意見書を提出する機会は与えられない。</x:v>
      </x:c>
      <x:c r="G80" s="22" t="str">
        <x:v>○</x:v>
      </x:c>
      <x:c r="H80" s="22" t="str">
        <x:v>願書の記載又は願書に添付した図面、写真、ひな形若しくは見本についてした補正がこれらの要旨を変更するものであるときは、決定をもってその補正は却下される（意１７条の２第１項）。この場合において、審査官が、意匠登録出願人に、相当の期間を指定して、意見書を提出する機会を与えなければならない、とする規定は存在しない。意見書の提出機会が与えられる拒絶理由通知と補正却下は別の手続だからである。
ただし出願人の救済がないわけではなく、要旨変更でないと争うなら４７条の補正却下決定不服審判、補正後意匠を権利化したいなら１７条の３の新出願を利用する。却下決定には理由が必要で、決定送達後３月間は査定されず、不服審判中は本願の審査も中止される。よって、本枝は正しい。</x:v>
      </x:c>
      <x:c r="I80" s="22" t="str">
        <x:v>意１７条の２第１項</x:v>
      </x:c>
      <x:c r="J80" s="22" t="str"/>
      <x:c r="K80" s="22" t="str">
        <x:v>令和2年度短答（TAC過去問）／【意匠】5 4／スライド129</x:v>
      </x:c>
      <x:c r="L80" s="22" t="n">
        <x:v>0</x:v>
      </x:c>
      <x:c r="M80" s="22" t="n">
        <x:v>0</x:v>
      </x:c>
      <x:c r="N80" s="23" t="str">
        <x:f>IF(SUM(L80:M80)=0,"",L80/SUM(L80:M80))</x:f>
      </x:c>
      <x:c r="O80" s="22" t="str">
        <x:f>IF(SUM(L80:M80)=0,"NEW",IF(N80&gt;=0.9,"A",IF(N80&gt;=0.75,"B",IF(N80&gt;=0.5,"C","D"))))</x:f>
        <x:v>NEW</x:v>
      </x:c>
      <x:c r="P80" s="22" t="n">
        <x:v>0</x:v>
      </x:c>
      <x:c r="Q80" s="24"/>
      <x:c r="R80" s="24"/>
      <x:c r="S80" s="22" t="str">
        <x:v>原問：意匠登録出願の補正、補正の却下に関し、次のうち、誤っているものは、どれか。（ただし書省略）</x:v>
      </x:c>
    </x:row>
    <x:row r="81">
      <x:c r="A81" s="22" t="str">
        <x:v>R02-D05-5</x:v>
      </x:c>
      <x:c r="B81" s="22" t="str">
        <x:v>意匠</x:v>
      </x:c>
      <x:c r="C81" s="22" t="str">
        <x:v>意匠登録出願の補正、補正の却下</x:v>
      </x:c>
      <x:c r="D81" s="22" t="str">
        <x:v>意匠登録出願の補正、補正の却下／5</x:v>
      </x:c>
      <x:c r="E81" s="22" t="str">
        <x:v>○×</x:v>
      </x:c>
      <x:c r="F81" s="22" t="str">
        <x:v>意匠登録出願人が、意匠法第１７条の２第１項に規定する補正の却下の決定の謄本の送達があった日から３月以内にその補正後の意匠について改めて意匠登録出願をしたときであっても、もとの意匠登録出願は取り下げたものとみなされない場合がある。</x:v>
      </x:c>
      <x:c r="G81" s="22" t="str">
        <x:v>○</x:v>
      </x:c>
      <x:c r="H81" s="22" t="str">
        <x:v>意匠登録出願人が意１７条の２第１項の規定による却下の決定の謄本の送達があった日から３月以内にその補正後の意匠について新たな意匠登録出願をしたときは、その意匠登録出願は、その補正について手続補正書を提出した時にしたものとみなされる（意１７条の３第１項）。そして、当該新たな意匠登録出願があったときは、もとの意匠登録出願は、取り下げたものとみなされる（意１７条の３第２項）。
しかし、意１７条の３の規定によるものでなく、補正後の意匠について別の新規出願をしたときは（意６条）、もとの意匠登録出願は取り下げたものとみなされない。よって、本枝は正しい。</x:v>
      </x:c>
      <x:c r="I81" s="22" t="str">
        <x:v>意１７条の２第１項、意１７条の３第１項、意１７条の３第２項、意１７条の３、意６条</x:v>
      </x:c>
      <x:c r="J81" s="22" t="str"/>
      <x:c r="K81" s="22" t="str">
        <x:v>令和2年度短答（TAC過去問）／【意匠】5 5／スライド130</x:v>
      </x:c>
      <x:c r="L81" s="22" t="n">
        <x:v>0</x:v>
      </x:c>
      <x:c r="M81" s="22" t="n">
        <x:v>0</x:v>
      </x:c>
      <x:c r="N81" s="23" t="str">
        <x:f>IF(SUM(L81:M81)=0,"",L81/SUM(L81:M81))</x:f>
      </x:c>
      <x:c r="O81" s="22" t="str">
        <x:f>IF(SUM(L81:M81)=0,"NEW",IF(N81&gt;=0.9,"A",IF(N81&gt;=0.75,"B",IF(N81&gt;=0.5,"C","D"))))</x:f>
        <x:v>NEW</x:v>
      </x:c>
      <x:c r="P81" s="22" t="n">
        <x:v>0</x:v>
      </x:c>
      <x:c r="Q81" s="24"/>
      <x:c r="R81" s="24"/>
      <x:c r="S81" s="22" t="str">
        <x:v>原問：意匠登録出願の補正、補正の却下に関し、次のうち、誤っているものは、どれか。（ただし書省略）</x:v>
      </x:c>
    </x:row>
    <x:row r="82">
      <x:c r="A82" s="22" t="str">
        <x:v>R02-D06-2</x:v>
      </x:c>
      <x:c r="B82" s="22" t="str">
        <x:v>意匠</x:v>
      </x:c>
      <x:c r="C82" s="22" t="str"/>
      <x:c r="D82" s="22" t="str">
        <x:v>第6問2</x:v>
      </x:c>
      <x:c r="E82" s="22" t="str">
        <x:v>○×</x:v>
      </x:c>
      <x:c r="F82" s="22" t="str">
        <x:v>甲の意匠登録出願ｄに係る意匠ニが、秘密意匠として登録され、甲の意匠登録出願ｃの出願日の前に、意匠権の設定登録があったときに発行される意匠公報が発行された。意匠登録出願ｃは、意匠登録出願ｂに係る意匠ロを本意匠とする関連意匠の出願である。意匠登録出願ｃの後に、秘密意匠ニについて秘密にすることを請求した期間の経過後に発行される意匠公報が発行された。意匠ハが、意匠ニとは類似しないが意匠ニの一部と類似している場合、意匠ハに係る意匠登録出願ｃは、意匠ニに係る意匠登録出願ｄが意匠法第３条の２の他の意匠登録出願であることを理由として拒絶されることはない。</x:v>
      </x:c>
      <x:c r="G82" s="22" t="str">
        <x:v>○</x:v>
      </x:c>
      <x:c r="H82" s="22" t="str">
        <x:v>意匠ハは意匠ニ全体とは非類似でも、ニの一部と類似するため、まず3条の2本文に該当する。
しかし、出願した関連意匠が秘密意匠として意匠登録を受けようとしている自己の先願意匠の一部と類似する場合において、関連意匠についての意３条の２ただし書の適用については、秘密解除時に発行される意匠公報の発行日前まで同条の適用が除外される（意１０条３項、青本意１０条３項）。
すなわち、先の意匠登録出願の出願人と関連意匠の意匠登録出願の出願人とが同一の者である場合は、意３条の２の規定は適用されない（意匠審査基準第Ｖ部３．６）。関連意匠制度は、一つのデザイン・コンセプトから継続的に生まれるバリエーションを長期間保護する制度である。そのため、自己の秘密意匠が先願となり、その一部と後の関連意匠が類似しただけで３条の２により拒絶されると制度趣旨を害するからである。そこで、秘密意匠については図面等が掲載される秘密解除公報の発行前まで自己衝突を回避している。
これにより、本意匠の意匠登録出願の日から長期にわたって関連意匠の意匠登録出願を行うことができるが、関連意匠の意匠権の存続期間は、基礎意匠（本意匠）の意匠登録出願の日から２５年となっているため、このように規定しても、実質的な存続期間の延長とはならない。
したがって、関連意匠ハは、秘密意匠として登録された自己の先願意匠ニの一部と同一であるものの、関連意匠ハに係る出願ｃは、意匠ニに係る出願ｄが意３条の２の他の意匠登録出願であることを理由として拒絶されることはない（意１０条３項）。よって、本枝は正しい。</x:v>
      </x:c>
      <x:c r="I82" s="22" t="str">
        <x:v>意３条の２、意１０条３項</x:v>
      </x:c>
      <x:c r="J82" s="22" t="str"/>
      <x:c r="K82" s="22" t="str">
        <x:v>令和2年度短答（TAC過去問）／【意匠】6 2／スライド131-132</x:v>
      </x:c>
      <x:c r="L82" s="22" t="n">
        <x:v>0</x:v>
      </x:c>
      <x:c r="M82" s="22" t="n">
        <x:v>0</x:v>
      </x:c>
      <x:c r="N82" s="23" t="str">
        <x:f>IF(SUM(L82:M82)=0,"",L82/SUM(L82:M82))</x:f>
      </x:c>
      <x:c r="O82" s="22" t="str">
        <x:f>IF(SUM(L82:M82)=0,"NEW",IF(N82&gt;=0.9,"A",IF(N82&gt;=0.75,"B",IF(N82&gt;=0.5,"C","D"))))</x:f>
        <x:v>NEW</x:v>
      </x:c>
      <x:c r="P82" s="22" t="n">
        <x:v>0</x:v>
      </x:c>
      <x:c r="Q82" s="24"/>
      <x:c r="R82" s="24"/>
      <x:c r="S82" s="22" t="str"/>
    </x:row>
    <x:row r="83">
      <x:c r="A83" s="22" t="str">
        <x:v>R02-D06-3</x:v>
      </x:c>
      <x:c r="B83" s="22" t="str">
        <x:v>意匠</x:v>
      </x:c>
      <x:c r="C83" s="22" t="str"/>
      <x:c r="D83" s="22" t="str">
        <x:v>第6問3</x:v>
      </x:c>
      <x:c r="E83" s="22" t="str">
        <x:v>○×</x:v>
      </x:c>
      <x:c r="F83" s="22" t="str">
        <x:v>甲が意匠権Ａ及び意匠権Ｂについて乙に通常実施権を許諾した場合であっても、意匠ハに係る意匠登録出願ｃは、意匠権Ｂに係る意匠ロを本意匠とする関連意匠として意匠登録を受けることができる。</x:v>
      </x:c>
      <x:c r="G83" s="22" t="str">
        <x:v>○</x:v>
      </x:c>
      <x:c r="H83" s="22" t="str">
        <x:v>本意匠の意匠権について「専用実施権」が設定されているときは、その本意匠に係る関連意匠については、意１０条１項及び４項の規定にかかわらず、意匠登録を受けることができない（意１０条６項）。本意匠と関連意匠について別々の者に専用実施権が設定されると、相互に類似する意匠の重複部分について二以上の者に排他権が成立してしまい、関連意匠制度の趣旨に反することになる。そのため、同一の者に対して、同時に本意匠及びすべての関連意匠の意匠権について専用実施権を設定しなければならない（２７条１項但書）。
一方、本意匠の出願の日から１０年までに出願された関連意匠について意匠登録を受けることができるため、本意匠に対して専用実施権が設定された状態で、関連意匠出願が特許庁に係属する可能性がある。そこで、第２７条第１項但書の規定を実効あるものにするために、既に専用実施権を設定した本意匠に係る関連意匠については、意匠登録を受けることができないこととしています。
しかし、本意匠について通常実施権が許諾されているときに、その本意匠に係る関連意匠について意匠登録を受けることができない、とする規定は存在しない。したがって、本意匠ロに係る意匠権Ｂについて通常実施権が許諾されている場合であっても、意匠ハに係る出願ｃは関連意匠として意匠登録を受けることができる（意１０条４項）。よって、本枝は正しい。</x:v>
      </x:c>
      <x:c r="I83" s="22" t="str">
        <x:v>意１０条１項、意１０条６項、意１０条４項</x:v>
      </x:c>
      <x:c r="J83" s="22" t="str"/>
      <x:c r="K83" s="22" t="str">
        <x:v>令和2年度短答（TAC過去問）／【意匠】6 3／スライド134-135</x:v>
      </x:c>
      <x:c r="L83" s="22" t="n">
        <x:v>0</x:v>
      </x:c>
      <x:c r="M83" s="22" t="n">
        <x:v>0</x:v>
      </x:c>
      <x:c r="N83" s="23" t="str">
        <x:f>IF(SUM(L83:M83)=0,"",L83/SUM(L83:M83))</x:f>
      </x:c>
      <x:c r="O83" s="22" t="str">
        <x:f>IF(SUM(L83:M83)=0,"NEW",IF(N83&gt;=0.9,"A",IF(N83&gt;=0.75,"B",IF(N83&gt;=0.5,"C","D"))))</x:f>
        <x:v>NEW</x:v>
      </x:c>
      <x:c r="P83" s="22" t="n">
        <x:v>0</x:v>
      </x:c>
      <x:c r="Q83" s="24"/>
      <x:c r="R83" s="24"/>
      <x:c r="S83" s="22" t="str"/>
    </x:row>
    <x:row r="84">
      <x:c r="A84" s="22" t="str">
        <x:v>R02-D06-4</x:v>
      </x:c>
      <x:c r="B84" s="22" t="str">
        <x:v>意匠</x:v>
      </x:c>
      <x:c r="C84" s="22" t="str"/>
      <x:c r="D84" s="22" t="str">
        <x:v>第6問4</x:v>
      </x:c>
      <x:c r="E84" s="22" t="str">
        <x:v>○×</x:v>
      </x:c>
      <x:c r="F84" s="22" t="str">
        <x:v>意匠権Ｂが発生した後に、意匠権Ａが登録料を追納できる期間内に納付しなかったことにより消滅した。意匠権Ｂは有効に存続している場合、意匠ハに係る意匠登録出願ｃは、意匠権Ｂに係る意匠ロを本意匠として意匠登録を受けることができる。</x:v>
      </x:c>
      <x:c r="G84" s="22" t="str">
        <x:v>○</x:v>
      </x:c>
      <x:c r="H84" s="22" t="str">
        <x:v>関連意匠の意匠権の設定の登録の際に、その本意匠の意匠権が意４４条４項の規定（登録料不納付）により消滅しているとき、無効にすべき旨の審決が確定しているとき、又は放棄されているときは、意１０条１項本文の規定により、関連意匠について意匠登録を受けることができない（意１０条１項ただし書）。
本枝においては、意匠登録出願ｃの本意匠である意匠権Ｂは有効に存続している、また、基礎意匠の権利が維持されていなくても、関連意匠の登録の可否に直接的な影響はない（意審査基準第Ｖ部３．４．１）ので、関連意匠の意匠権の設定の登録の際に、その基礎意匠の意匠権が消滅していたとしても、当該関連意匠について意匠登録を受けることができる。
本枝において、基礎意匠の意匠権Ａは意４４条４項の規定により消滅しているが、関連意匠ハの本意匠ロに係る意匠権Ｂは有効に存続しているため、意匠ハに係る出願ｃは、意匠権Ｂに係る意匠ロを本意匠として意匠登録を受けることができる（意１０条４項）。よって、本枝は正しい。
※　基礎意匠と本意匠を混同しない。</x:v>
      </x:c>
      <x:c r="I84" s="22" t="str">
        <x:v>意４４条４項、意１０条１項、意１０条４項</x:v>
      </x:c>
      <x:c r="J84" s="22" t="str"/>
      <x:c r="K84" s="22" t="str">
        <x:v>令和2年度短答（TAC過去問）／【意匠】6 4／スライド136-137</x:v>
      </x:c>
      <x:c r="L84" s="22" t="n">
        <x:v>0</x:v>
      </x:c>
      <x:c r="M84" s="22" t="n">
        <x:v>0</x:v>
      </x:c>
      <x:c r="N84" s="23" t="str">
        <x:f>IF(SUM(L84:M84)=0,"",L84/SUM(L84:M84))</x:f>
      </x:c>
      <x:c r="O84" s="22" t="str">
        <x:f>IF(SUM(L84:M84)=0,"NEW",IF(N84&gt;=0.9,"A",IF(N84&gt;=0.75,"B",IF(N84&gt;=0.5,"C","D"))))</x:f>
        <x:v>NEW</x:v>
      </x:c>
      <x:c r="P84" s="22" t="n">
        <x:v>0</x:v>
      </x:c>
      <x:c r="Q84" s="24"/>
      <x:c r="R84" s="24"/>
      <x:c r="S84" s="22" t="str"/>
    </x:row>
    <x:row r="85">
      <x:c r="A85" s="22" t="str">
        <x:v>R02-D06-5</x:v>
      </x:c>
      <x:c r="B85" s="22" t="str">
        <x:v>意匠</x:v>
      </x:c>
      <x:c r="C85" s="22" t="str"/>
      <x:c r="D85" s="22" t="str">
        <x:v>第6問5</x:v>
      </x:c>
      <x:c r="E85" s="22" t="str">
        <x:v>○×</x:v>
      </x:c>
      <x:c r="F85" s="22" t="str">
        <x:v>意匠登録出願ｂの出願後であって、意匠登録出願ｃの出願前に、甲は意匠ハと類似する意匠ホを実施していた。このとき、意匠登録出願ｃの本意匠である意匠登録出願ｂに係る意匠ロと意匠ホとが同一の場合に限り、意匠登録出願ｃの審査において、意匠ホの実施は意匠法第３条第１項第１号又は第２号に該当するに至らなかったものとみなされる。</x:v>
      </x:c>
      <x:c r="G85" s="22" t="str">
        <x:v>×</x:v>
      </x:c>
      <x:c r="H85" s="22" t="str">
        <x:v>意３条１項１号又は２号に該当するに至った自己の意匠のうち意１０条１項の規定により意匠登録を受けようとする意匠の本意匠と同一又は類似のものは、当該意匠登録を受けようとする意匠についての意３条１項及び２項の規定の適用については、意３条１項１号又は２号に該当するに至らなかったものとみなされる（意１０条２項）。出願ｃの出願前に、甲は意匠ホを実施しているため、意匠ホは意３条１項１号又は２号に該当するに至った意匠である。ここで、意匠ホが関連意匠ハの本意匠ロと同一のものでなくても、本意匠ロと類似のものであっても、関連意匠ハについての意３条１項及び２項の規定の適用については、１意匠ホは意３条１項１号又は２号に該当するに至らなかったものとみなされる（意１０条２項）。
本意匠の意匠登録出願の日から１０年間、関連意匠の意匠登録出願が認められるが、本意匠の公報掲載や実施によって関連意匠が新規性・創作非容易性（３条１項、２項）の規定により登録を受けられないのでは意味がない。そこで、本規定では、関連意匠の審査においては、本意匠と同一又は類似の自己の意匠については、新規性・創作非容易性の規定の適用上、新規性を失わなかったものとみなすこととしている。
これに対し、本枝は、出願ｃの本意匠である出願ｂに係る意匠ロと意匠ホとが「同一の場合に限り」、出願ｃの審査において、意匠ホの実施は意３条１項１号又は２号に該当するに至らなかったものとみなされる、としている。よって、本枝は誤り。</x:v>
      </x:c>
      <x:c r="I85" s="22" t="str">
        <x:v>意３条１項１号、意１０条１項、意３条１項、意１０条２項</x:v>
      </x:c>
      <x:c r="J85" s="22" t="str"/>
      <x:c r="K85" s="22" t="str">
        <x:v>令和2年度短答（TAC過去問）／【意匠】6 5／スライド138-139</x:v>
      </x:c>
      <x:c r="L85" s="22" t="n">
        <x:v>0</x:v>
      </x:c>
      <x:c r="M85" s="22" t="n">
        <x:v>0</x:v>
      </x:c>
      <x:c r="N85" s="23" t="str">
        <x:f>IF(SUM(L85:M85)=0,"",L85/SUM(L85:M85))</x:f>
      </x:c>
      <x:c r="O85" s="22" t="str">
        <x:f>IF(SUM(L85:M85)=0,"NEW",IF(N85&gt;=0.9,"A",IF(N85&gt;=0.75,"B",IF(N85&gt;=0.5,"C","D"))))</x:f>
        <x:v>NEW</x:v>
      </x:c>
      <x:c r="P85" s="22" t="n">
        <x:v>0</x:v>
      </x:c>
      <x:c r="Q85" s="24"/>
      <x:c r="R85" s="24"/>
      <x:c r="S85" s="22" t="str"/>
    </x:row>
    <x:row r="86">
      <x:c r="A86" s="22" t="str">
        <x:v>R02-D07-イ</x:v>
      </x:c>
      <x:c r="B86" s="22" t="str">
        <x:v>意匠</x:v>
      </x:c>
      <x:c r="C86" s="22" t="str">
        <x:v>意匠法における、先願、分割出願、変更出願</x:v>
      </x:c>
      <x:c r="D86" s="22" t="str">
        <x:v>意匠法における、先願、分割出願、変更出願／（イ）</x:v>
      </x:c>
      <x:c r="E86" s="22" t="str">
        <x:v>○×</x:v>
      </x:c>
      <x:c r="F86" s="22" t="str">
        <x:v>特許出願Ａを、意匠法第１３条の規定に基づき適法に、意匠登録出願Ｂに変更し、当該出願について意匠権の設定登録がされた。当該意匠権は、特許出願Ａの出願日から２５年を超えて存続する場合はない。</x:v>
      </x:c>
      <x:c r="G86" s="22" t="str">
        <x:v>○</x:v>
      </x:c>
      <x:c r="H86" s="22" t="str">
        <x:v>意匠権の存続期間は、意匠登録出願の日から２５年をもって終了する（意２１条１項）。意匠登録出願Ｂは、意１３条１項の規定に基づき適法に特許出願Ａから変更されたものであるため、出願Ｂは、もとの出願Ａの時にしたものとみなされる（意１３条６項で準用する意１０条の２第２項）。したがって、出願Ｂに係る意匠権の存続期間は、出願Ａの出願の日から２５年をもって終了するため、当該意匠権は、特許出願Ａの出願日から２５年を超えて存続する場合はない。よって、本枝は正しい。</x:v>
      </x:c>
      <x:c r="I86" s="22" t="str">
        <x:v>意２１条１項、意１３条１項、意１３条６項、意１０条の２第２項</x:v>
      </x:c>
      <x:c r="J86" s="22" t="str"/>
      <x:c r="K86" s="22" t="str">
        <x:v>令和2年度短答（TAC過去問）／【意匠】7 （イ）／スライド141</x:v>
      </x:c>
      <x:c r="L86" s="22" t="n">
        <x:v>0</x:v>
      </x:c>
      <x:c r="M86" s="22" t="n">
        <x:v>0</x:v>
      </x:c>
      <x:c r="N86" s="23" t="str">
        <x:f>IF(SUM(L86:M86)=0,"",L86/SUM(L86:M86))</x:f>
      </x:c>
      <x:c r="O86" s="22" t="str">
        <x:f>IF(SUM(L86:M86)=0,"NEW",IF(N86&gt;=0.9,"A",IF(N86&gt;=0.75,"B",IF(N86&gt;=0.5,"C","D"))))</x:f>
        <x:v>NEW</x:v>
      </x:c>
      <x:c r="P86" s="22" t="n">
        <x:v>0</x:v>
      </x:c>
      <x:c r="Q86" s="24"/>
      <x:c r="R86" s="24"/>
      <x:c r="S86" s="22" t="str">
        <x:v>原問：意匠法における、先願、分割出願、変更出願に関して、次の（イ）～（ニ）のうち、正しいものは、いくつあるか。（ただし書省略）</x:v>
      </x:c>
    </x:row>
    <x:row r="87">
      <x:c r="A87" s="22" t="str">
        <x:v>R02-D07-ロ</x:v>
      </x:c>
      <x:c r="B87" s="22" t="str">
        <x:v>意匠</x:v>
      </x:c>
      <x:c r="C87" s="22" t="str">
        <x:v>意匠法における、先願、分割出願、変更出願</x:v>
      </x:c>
      <x:c r="D87" s="22" t="str">
        <x:v>意匠法における、先願、分割出願、変更出願／（ロ）</x:v>
      </x:c>
      <x:c r="E87" s="22" t="str">
        <x:v>○×</x:v>
      </x:c>
      <x:c r="F87" s="22" t="str">
        <x:v>甲は、特許出願Ａを、意匠法第１３条の規定に基づき適法に、意匠イに係る意匠登録出願Ｂに変更した。甲は、特許出願Ａの出願より２年前に意匠ロに係る意匠登録出願Ｃをし、その後、当該出願について意匠権の設定登録を受けていた。意匠ロと意匠イとが類似する場合、意匠イは、意匠ロを本意匠とする関連意匠の出願としなければ登録を受けることができない。</x:v>
      </x:c>
      <x:c r="G87" s="22" t="str">
        <x:v>○</x:v>
      </x:c>
      <x:c r="H87" s="22" t="str">
        <x:v>意匠イに係る出願Ｂは、意１３条１項の規定に基づき適法に特許出願Ａから変更されたものであるため、出願Ｂは、もとの出願Ａの時にしたものとみなされる（意１３条６項で準用する意１０条の２第２項）。
そして、甲は、出願Ａの出願より２年前に、意匠イに類似する意匠ロに係る意匠登録出願Ｃをし、当該出願について意匠権の設定登録を受けているため、出願Ｃに先願の地位が認められ（意９条３項）、後願である出願Ｂに係る意匠イについては、原則、先願である出願Ｃに係る意匠ロと類似するとして、意９条１項の規定により意匠登録を受けることができない（意１７条１号）。
しかし、例外的に、意匠イにつき、意匠ロを本意匠とする関連意匠の出願とすれば、意匠イについて、意９条１項の規定にかかわらず、意匠登録を受けることができる（意１０条１項）。よって、本枝は正しい。
※「関連意匠の出願としなければ登録を受けることができない。」との問題文を「関連意匠の出願とすることができない。」と誤読しないように。</x:v>
      </x:c>
      <x:c r="I87" s="22" t="str">
        <x:v>意１３条１項、意１３条６項、意１０条の２第２項、意９条３項、意９条１項、意１７条１号、意１０条１項</x:v>
      </x:c>
      <x:c r="J87" s="22" t="str"/>
      <x:c r="K87" s="22" t="str">
        <x:v>令和2年度短答（TAC過去問）／【意匠】7 （ロ）／スライド142-143</x:v>
      </x:c>
      <x:c r="L87" s="22" t="n">
        <x:v>0</x:v>
      </x:c>
      <x:c r="M87" s="22" t="n">
        <x:v>0</x:v>
      </x:c>
      <x:c r="N87" s="23" t="str">
        <x:f>IF(SUM(L87:M87)=0,"",L87/SUM(L87:M87))</x:f>
      </x:c>
      <x:c r="O87" s="22" t="str">
        <x:f>IF(SUM(L87:M87)=0,"NEW",IF(N87&gt;=0.9,"A",IF(N87&gt;=0.75,"B",IF(N87&gt;=0.5,"C","D"))))</x:f>
        <x:v>NEW</x:v>
      </x:c>
      <x:c r="P87" s="22" t="n">
        <x:v>0</x:v>
      </x:c>
      <x:c r="Q87" s="24"/>
      <x:c r="R87" s="24"/>
      <x:c r="S87" s="22" t="str">
        <x:v>原問：意匠法における、先願、分割出願、変更出願に関して、次の（イ）～（ニ）のうち、正しいものは、いくつあるか。（ただし書省略）</x:v>
      </x:c>
    </x:row>
    <x:row r="88">
      <x:c r="A88" s="22" t="str">
        <x:v>R02-D07-ニ</x:v>
      </x:c>
      <x:c r="B88" s="22" t="str">
        <x:v>意匠</x:v>
      </x:c>
      <x:c r="C88" s="22" t="str">
        <x:v>意匠法における、先願、分割出願、変更出願</x:v>
      </x:c>
      <x:c r="D88" s="22" t="str">
        <x:v>意匠法における、先願、分割出願、変更出願／（ニ）</x:v>
      </x:c>
      <x:c r="E88" s="22" t="str">
        <x:v>○×</x:v>
      </x:c>
      <x:c r="F88" s="22" t="str">
        <x:v>甲が意匠イについて、令和元年１０月１日にハーグ協定のジュネーブ改正協定に基づく我が国を指定締約国とする国際出願Ａをし、同年１０月７日を国際登録の日として国際登録され、令和２年４月７日に国際公表された。一方、乙が、令和元年１０月３日に意匠ロについて意匠登録出願Ｂをした。意匠イと意匠ロとが類似する場合、甲の国際出願Ａに基づく国際意匠登録出願は、我が国で、意匠ロに係る意匠登録出願Ｂを引用され、意匠法第９条第１項（先願）を理由として拒絶されることはない。</x:v>
      </x:c>
      <x:c r="G88" s="22" t="str">
        <x:v>×</x:v>
      </x:c>
      <x:c r="H88" s="22" t="str">
        <x:v>甲の国際出願Ａに基づく国際意匠登録出願は、「国際登録の日（令和元年１０月７日）」にされた意匠登録出願とみなされるものである（意６０条の６第１項）。
そのため、当該国際意匠登録出願は、出願日が令和元年１０月３日である出願Ｂの後願であり、意匠イと意匠ロとが類似する場合であるので、当該国際意匠登録出願は、我が国で、意匠ロに係る出願Ｂを引用され、意９条１項（先願）を理由として拒絶されることがある（意１７条１号）。よって、本枝は誤り。
なお、国際登録の日は、「国際事務局が国際出願を受理した日において、当該国際出願にジュネーブ５条（２）の規定に関連する不備がある場合には、国際事務局が当該不備の補正を受理した日又は国際出願の出願日のいずれか遅い日とする」（ジュネーブ１０条（２）（ｂ））場合を除いて、国際出願の日とされる（ジュネーブ１０条（２）（ａ））。甲の国際出願の日は令和元年１０月１日であるのに対し、令和元年１０月７日が国際登録の日とされているため、当該国際出願にジュネーブ５条（２）の規定に関連する不備があり、国際事務局が当該不備の補正を受理した日（令和元年１０月７日）が当該国際出願の国際登録の日とされた、と考えられる。</x:v>
      </x:c>
      <x:c r="I88" s="22" t="str">
        <x:v>意６０条の６第１項、意９条１項、意１７条１号</x:v>
      </x:c>
      <x:c r="J88" s="22" t="str"/>
      <x:c r="K88" s="22" t="str">
        <x:v>令和2年度短答（TAC過去問）／【意匠】7 （ニ）／スライド144-145</x:v>
      </x:c>
      <x:c r="L88" s="22" t="n">
        <x:v>0</x:v>
      </x:c>
      <x:c r="M88" s="22" t="n">
        <x:v>0</x:v>
      </x:c>
      <x:c r="N88" s="23" t="str">
        <x:f>IF(SUM(L88:M88)=0,"",L88/SUM(L88:M88))</x:f>
      </x:c>
      <x:c r="O88" s="22" t="str">
        <x:f>IF(SUM(L88:M88)=0,"NEW",IF(N88&gt;=0.9,"A",IF(N88&gt;=0.75,"B",IF(N88&gt;=0.5,"C","D"))))</x:f>
        <x:v>NEW</x:v>
      </x:c>
      <x:c r="P88" s="22" t="n">
        <x:v>0</x:v>
      </x:c>
      <x:c r="Q88" s="24"/>
      <x:c r="R88" s="24"/>
      <x:c r="S88" s="22" t="str">
        <x:v>原問：意匠法における、先願、分割出願、変更出願に関して、次の（イ）～（ニ）のうち、正しいものは、いくつあるか。（ただし書省略）</x:v>
      </x:c>
    </x:row>
    <x:row r="89">
      <x:c r="A89" s="22" t="str">
        <x:v>R02-D08-1</x:v>
      </x:c>
      <x:c r="B89" s="22" t="str">
        <x:v>意匠</x:v>
      </x:c>
      <x:c r="C89" s="22" t="str">
        <x:v>甲は、蓋と本体との両方に特徴のある、「蓋」と「シャンプー容器本体」からなる「蓋つきシャンプー容器」の意匠イ</x:v>
      </x:c>
      <x:c r="D89" s="22" t="str">
        <x:v>甲は、蓋と本体との両方に特徴のある、「蓋」と「シャンプー容器本体」からなる「蓋つきシャンプー容器」の意匠イ／1</x:v>
      </x:c>
      <x:c r="E89" s="22" t="str">
        <x:v>○×</x:v>
      </x:c>
      <x:c r="F89" s="22" t="str">
        <x:v>甲の意匠イの意匠登録出願後かつ登録前に、乙が、意匠イと同一の意匠の「蓋つきシャンプー容器」を業として製造した。この場合、甲は、乙に対して、意匠登録前の業としての製造について補償金の支払いを請求できることがある。</x:v>
      </x:c>
      <x:c r="G89" s="22" t="str">
        <x:v>×</x:v>
      </x:c>
      <x:c r="H89" s="22" t="str">
        <x:v>甲の意匠イについての意匠登録出願が国際意匠登録出願であれば、甲が、乙に対して、意匠登録前の業としての製造について補償金の支払いを請求できることがある（意６０条の１２第１項）。
通常の国内意匠出願には登録前の出願公開がなく、設定登録まで意匠内容が原則として公表されないため、公開による模倣被害を補う補償金請求権制度はない。
他方、国際意匠登録出願は設定登録前に国際公表されることから、国際公表から設定登録までの間、第三者による国際意匠登録出願に係る意匠又はこれに類似する意匠を実施することによる被害を補償するため、意匠法６０条の１２が特許法６５条にならって補償金請求権を認めているのである。
すなわち、補償金請求権は通常の意匠登録出願にはなく、国際意匠登録出願特有の制度となっている。
この点、問題文柱書において、意匠イについて「意匠登録出願をし」とされているため、当該出願は意６条に規定されている国内出願である。そのため、甲は、乙に対して、意匠登録前の業としての製造について補償金の支払いを請求できることはない。よって、本枝は誤り。</x:v>
      </x:c>
      <x:c r="I89" s="22" t="str">
        <x:v>意６０条の１２第１項、意６条</x:v>
      </x:c>
      <x:c r="J89" s="22" t="str"/>
      <x:c r="K89" s="22" t="str">
        <x:v>令和2年度短答（TAC過去問）／【意匠】8 1／スライド146-147</x:v>
      </x:c>
      <x:c r="L89" s="22" t="n">
        <x:v>0</x:v>
      </x:c>
      <x:c r="M89" s="22" t="n">
        <x:v>0</x:v>
      </x:c>
      <x:c r="N89" s="23" t="str">
        <x:f>IF(SUM(L89:M89)=0,"",L89/SUM(L89:M89))</x:f>
      </x:c>
      <x:c r="O89" s="22" t="str">
        <x:f>IF(SUM(L89:M89)=0,"NEW",IF(N89&gt;=0.9,"A",IF(N89&gt;=0.75,"B",IF(N89&gt;=0.5,"C","D"))))</x:f>
        <x:v>NEW</x:v>
      </x:c>
      <x:c r="P89" s="22" t="n">
        <x:v>0</x:v>
      </x:c>
      <x:c r="Q89" s="24"/>
      <x:c r="R89" s="24"/>
      <x:c r="S89" s="22" t="str">
        <x:v>原問：甲は、蓋と本体との両方に特徴のある、「蓋」と「シャンプー容器本体」からなる「蓋つきシャンプー容器」の意匠イについて意匠登録出願をし、意匠イについて意匠登録を受けている。次のうち、誤っているものは、どれか。（ただし書省略）</x:v>
      </x:c>
    </x:row>
    <x:row r="90">
      <x:c r="A90" s="22" t="str">
        <x:v>R02-D08-2</x:v>
      </x:c>
      <x:c r="B90" s="22" t="str">
        <x:v>意匠</x:v>
      </x:c>
      <x:c r="C90" s="22" t="str">
        <x:v>甲は、蓋と本体との両方に特徴のある、「蓋」と「シャンプー容器本体」からなる「蓋つきシャンプー容器」の意匠イ</x:v>
      </x:c>
      <x:c r="D90" s="22" t="str">
        <x:v>甲は、蓋と本体との両方に特徴のある、「蓋」と「シャンプー容器本体」からなる「蓋つきシャンプー容器」の意匠イ／2</x:v>
      </x:c>
      <x:c r="E90" s="22" t="str">
        <x:v>○×</x:v>
      </x:c>
      <x:c r="F90" s="22" t="str">
        <x:v>乙が、甲の意匠イの意匠登録後に、甲の許諾なく、意匠イと同一の意匠の「蓋つきシャンプー容器」に入ったシャンプーの試供品を無料で広く配布した。この場合、甲は、乙に対して、意匠権侵害に基づく差止を請求できることがある。</x:v>
      </x:c>
      <x:c r="G90" s="22" t="str">
        <x:v>○</x:v>
      </x:c>
      <x:c r="H90" s="22" t="str">
        <x:v>意匠権者は、業として登録意匠及びこれに類似する意匠の実施をする権利を専有する（意２３条本文）。そして、乙は、意匠権者である甲の許諾を受けた者ではないので、正当な権原又は理由なき第三者であると考えられる。また、意匠イと同一の意匠の「蓋つきシャンプー容器」に入ったシャンプーを配布する行為は、意匠に係る物品の譲渡をする行為であるため「実施」（意２条２項１号）に該当し、無料で配布されている場合であっても、販促目的で広く行えば「業として」の実施に該当すると解される。なぜなら、「業として」は、必ずしも営利を目的とする場合に限られないし、個人的・家庭内での実施を排除するための要件であるためである（青本特６８条［字旬の解釈］）。したがって、甲は、乙に対して、意匠権侵害に基づく差止を請求できることがある（意３７条１項）。よって、本枝は正しい。</x:v>
      </x:c>
      <x:c r="I90" s="22" t="str">
        <x:v>意２３条、意２条２項１号、特６８条、意３７条１項</x:v>
      </x:c>
      <x:c r="J90" s="22" t="str"/>
      <x:c r="K90" s="22" t="str">
        <x:v>令和2年度短答（TAC過去問）／【意匠】8 2／スライド148</x:v>
      </x:c>
      <x:c r="L90" s="22" t="n">
        <x:v>0</x:v>
      </x:c>
      <x:c r="M90" s="22" t="n">
        <x:v>0</x:v>
      </x:c>
      <x:c r="N90" s="23" t="str">
        <x:f>IF(SUM(L90:M90)=0,"",L90/SUM(L90:M90))</x:f>
      </x:c>
      <x:c r="O90" s="22" t="str">
        <x:f>IF(SUM(L90:M90)=0,"NEW",IF(N90&gt;=0.9,"A",IF(N90&gt;=0.75,"B",IF(N90&gt;=0.5,"C","D"))))</x:f>
        <x:v>NEW</x:v>
      </x:c>
      <x:c r="P90" s="22" t="n">
        <x:v>0</x:v>
      </x:c>
      <x:c r="Q90" s="24"/>
      <x:c r="R90" s="24"/>
      <x:c r="S90" s="22" t="str">
        <x:v>原問：甲は、蓋と本体との両方に特徴のある、「蓋」と「シャンプー容器本体」からなる「蓋つきシャンプー容器」の意匠イについて意匠登録出願をし、意匠イについて意匠登録を受けている。次のうち、誤っているものは、どれか。（ただし書省略）</x:v>
      </x:c>
    </x:row>
    <x:row r="91">
      <x:c r="A91" s="22" t="str">
        <x:v>R02-D08-3</x:v>
      </x:c>
      <x:c r="B91" s="22" t="str">
        <x:v>意匠</x:v>
      </x:c>
      <x:c r="C91" s="22" t="str">
        <x:v>甲は、蓋と本体との両方に特徴のある、「蓋」と「シャンプー容器本体」からなる「蓋つきシャンプー容器」の意匠イ</x:v>
      </x:c>
      <x:c r="D91" s="22" t="str">
        <x:v>甲は、蓋と本体との両方に特徴のある、「蓋」と「シャンプー容器本体」からなる「蓋つきシャンプー容器」の意匠イ／3</x:v>
      </x:c>
      <x:c r="E91" s="22" t="str">
        <x:v>○×</x:v>
      </x:c>
      <x:c r="F91" s="22" t="str">
        <x:v>乙は、甲の意匠イの意匠登録出願前に、意匠イと同一の「蓋つきシャンプー容器」の立体商標を、シャンプーを指定商品として商標登録出願をして商標登録を受けた。甲はその後に意匠イについて意匠登録を受けても、乙の許諾なく業として意匠イの「蓋つきシャンプー容器」にシャンプーを入れて販売することができない。</x:v>
      </x:c>
      <x:c r="G91" s="22" t="str">
        <x:v>○</x:v>
      </x:c>
      <x:c r="H91" s="22" t="str">
        <x:v>意匠権者は、その意匠権のうち登録意匠に係る部分がその意匠登録出願の日前の出願に係る他人の商標権と抵触するときは、業としてその登録意匠の実施をすることができない（意２６条１項）。異なる法領域である意匠登録出願と商標登録出願とは先後願の判断がなされないため（意９条１項・２項）、乙が意匠イと同一の立体商標について商標登録を受けた場合であっても、甲は意匠イについて意匠登録を受けることができる。
しかし、意匠イの「蓋つきシャンプー容器」にシャンプーを入れて販売する行為は、先願である乙の商標権と抵触する登録意匠の実施に該当するため、甲は、乙の許諾なく業として意匠イの実施をすることができない（意２６条１項）。よって、本枝は正しい。
ｃｆ．特許と実用新案の間においては例外的に相互の先後願判断がされる。これは、両者とも自然法則を利用した技術的思想を保護する制度であり、同一の技術的思想について特許と実用新案を重ねて取得させないためである。</x:v>
      </x:c>
      <x:c r="I91" s="22" t="str">
        <x:v>意２６条１項、意９条１項</x:v>
      </x:c>
      <x:c r="J91" s="22" t="str"/>
      <x:c r="K91" s="22" t="str">
        <x:v>令和2年度短答（TAC過去問）／【意匠】8 3／スライド149-150</x:v>
      </x:c>
      <x:c r="L91" s="22" t="n">
        <x:v>0</x:v>
      </x:c>
      <x:c r="M91" s="22" t="n">
        <x:v>0</x:v>
      </x:c>
      <x:c r="N91" s="23" t="str">
        <x:f>IF(SUM(L91:M91)=0,"",L91/SUM(L91:M91))</x:f>
      </x:c>
      <x:c r="O91" s="22" t="str">
        <x:f>IF(SUM(L91:M91)=0,"NEW",IF(N91&gt;=0.9,"A",IF(N91&gt;=0.75,"B",IF(N91&gt;=0.5,"C","D"))))</x:f>
        <x:v>NEW</x:v>
      </x:c>
      <x:c r="P91" s="22" t="n">
        <x:v>0</x:v>
      </x:c>
      <x:c r="Q91" s="24"/>
      <x:c r="R91" s="24"/>
      <x:c r="S91" s="22" t="str">
        <x:v>原問：甲は、蓋と本体との両方に特徴のある、「蓋」と「シャンプー容器本体」からなる「蓋つきシャンプー容器」の意匠イについて意匠登録出願をし、意匠イについて意匠登録を受けている。次のうち、誤っているものは、どれか。（ただし書省略）</x:v>
      </x:c>
    </x:row>
    <x:row r="92">
      <x:c r="A92" s="22" t="str">
        <x:v>R02-D08-4</x:v>
      </x:c>
      <x:c r="B92" s="22" t="str">
        <x:v>意匠</x:v>
      </x:c>
      <x:c r="C92" s="22" t="str">
        <x:v>甲は、蓋と本体との両方に特徴のある、「蓋」と「シャンプー容器本体」からなる「蓋つきシャンプー容器」の意匠イ</x:v>
      </x:c>
      <x:c r="D92" s="22" t="str">
        <x:v>甲は、蓋と本体との両方に特徴のある、「蓋」と「シャンプー容器本体」からなる「蓋つきシャンプー容器」の意匠イ／4</x:v>
      </x:c>
      <x:c r="E92" s="22" t="str">
        <x:v>○×</x:v>
      </x:c>
      <x:c r="F92" s="22" t="str">
        <x:v>乙が、甲の意匠イの意匠登録後、意匠イのうち「蓋」と同一の意匠の蓋Ｘを、甲の許諾なく製造した丙から国内で譲り受けて、業として輸出した。乙は、当該輸出時に、蓋Ｘが、意匠イの「シャンプー容器本体」に取り付けられる蓋であり、意匠イの視覚を通じた美感の創出に不可欠であること、蓋Ｘの意匠が意匠イのうち「蓋」と同一であること及び蓋Ｘが意匠イの「シャンプー容器本体」に用いられることを知っていた。この場合、甲は、乙の上記行為に対して、意匠権侵害に基づく差止請求をすることができない。</x:v>
      </x:c>
      <x:c r="G92" s="22" t="str">
        <x:v>○</x:v>
      </x:c>
      <x:c r="H92" s="22" t="str">
        <x:v>乙は、蓋Ｘが、意匠イの「シャンプー容器本体」に取り付けられる蓋であり、意匠イの視覚を通じた美感の創出に不可欠であること、蓋Ｘの意匠が意匠イのうち「蓋」と同一であること及び蓋Ｘが意匠イの「シャンプー容器本体」に用いられることを知っていたため、蓋Ｘが日本国内において広く一般に流通しているものである場合を除いて、意３８条２号柱書の要件を満たす。
しかし、蓋Ｘを業として輸出する行為は、意３８条２号イに規定されていない。これは、日本の意匠権が属地主義（権利効力が日本国内に限定されること）に基づいており、録意匠に係る物品の製造に不可欠な部品を輸出しても、その 輸出先で行われる製品の製造や販売は日本法上の直接侵害には当たらない（日本の意匠権の効力が及ばない）。これは、日本国法が保護できない海外での行為（侵害品の海外製造）を前提とする国内からの輸出行為まで「侵害とみなす」対象に含めるのは適切でないためである。
しがたって、当該行為は、甲の意匠権を侵害するものとみなされず、甲は、乙の上記行為に対して、意匠権侵害に基づく差止請求をすることができない（意３７条１項）。よって、本枝は正しい。</x:v>
      </x:c>
      <x:c r="I92" s="22" t="str">
        <x:v>意３８条２号、意３７条１項</x:v>
      </x:c>
      <x:c r="J92" s="22" t="str"/>
      <x:c r="K92" s="22" t="str">
        <x:v>令和2年度短答（TAC過去問）／【意匠】8 4／スライド151-152</x:v>
      </x:c>
      <x:c r="L92" s="22" t="n">
        <x:v>0</x:v>
      </x:c>
      <x:c r="M92" s="22" t="n">
        <x:v>0</x:v>
      </x:c>
      <x:c r="N92" s="23" t="str">
        <x:f>IF(SUM(L92:M92)=0,"",L92/SUM(L92:M92))</x:f>
      </x:c>
      <x:c r="O92" s="22" t="str">
        <x:f>IF(SUM(L92:M92)=0,"NEW",IF(N92&gt;=0.9,"A",IF(N92&gt;=0.75,"B",IF(N92&gt;=0.5,"C","D"))))</x:f>
        <x:v>NEW</x:v>
      </x:c>
      <x:c r="P92" s="22" t="n">
        <x:v>0</x:v>
      </x:c>
      <x:c r="Q92" s="24"/>
      <x:c r="R92" s="24"/>
      <x:c r="S92" s="22" t="str">
        <x:v>原問：甲は、蓋と本体との両方に特徴のある、「蓋」と「シャンプー容器本体」からなる「蓋つきシャンプー容器」の意匠イについて意匠登録出願をし、意匠イについて意匠登録を受けている。次のうち、誤っているものは、どれか。（ただし書省略）</x:v>
      </x:c>
    </x:row>
    <x:row r="93">
      <x:c r="A93" s="22" t="str">
        <x:v>R02-D09-1</x:v>
      </x:c>
      <x:c r="B93" s="22" t="str">
        <x:v>意匠</x:v>
      </x:c>
      <x:c r="C93" s="22" t="str">
        <x:v>意匠の審判</x:v>
      </x:c>
      <x:c r="D93" s="22" t="str">
        <x:v>意匠の審判／1</x:v>
      </x:c>
      <x:c r="E93" s="22" t="str">
        <x:v>○×</x:v>
      </x:c>
      <x:c r="F93" s="22" t="str">
        <x:v>意匠登録を受ける権利が共有の場合、共有者の一部の者が拒絶査定不服審判を請求しても、審決をもって却下される。</x:v>
      </x:c>
      <x:c r="G93" s="22" t="str">
        <x:v>○</x:v>
      </x:c>
      <x:c r="H93" s="22" t="str">
        <x:v>意匠登録を受ける権利の共有者がその共有に係る権利について審判を請求するときは、共有者の全員が共同して請求しなければならない（意５２条で準用する特１３２条３項）。これは、共有された権利の法的効果が各共有者に対して不可分一体で生じるためであり、一部の共有者の独走で他の共有者の権利が害されないようにし、審判や訴訟の結果を全員について統一的に確定させる必要があるためである。
当該規定に違反している場合、不適法な審判の請求であって、その補正をすることができないものであるとして、当該審判の請求は審決をもって却下される（意５２条で準用する特１３５条）。したがって、意匠登録を受ける権利が共有の場合、共有者の一部の者が拒絶査定不服審判を請求しても、審決をもって却下される。よって、本枝は正しい。</x:v>
      </x:c>
      <x:c r="I93" s="22" t="str">
        <x:v>意５２条、特１３２条３項、特１３５条</x:v>
      </x:c>
      <x:c r="J93" s="22" t="str"/>
      <x:c r="K93" s="22" t="str">
        <x:v>令和2年度短答（TAC過去問）／【意匠】9 1／スライド153</x:v>
      </x:c>
      <x:c r="L93" s="22" t="n">
        <x:v>0</x:v>
      </x:c>
      <x:c r="M93" s="22" t="n">
        <x:v>0</x:v>
      </x:c>
      <x:c r="N93" s="23" t="str">
        <x:f>IF(SUM(L93:M93)=0,"",L93/SUM(L93:M93))</x:f>
      </x:c>
      <x:c r="O93" s="22" t="str">
        <x:f>IF(SUM(L93:M93)=0,"NEW",IF(N93&gt;=0.9,"A",IF(N93&gt;=0.75,"B",IF(N93&gt;=0.5,"C","D"))))</x:f>
        <x:v>NEW</x:v>
      </x:c>
      <x:c r="P93" s="22" t="n">
        <x:v>0</x:v>
      </x:c>
      <x:c r="Q93" s="24"/>
      <x:c r="R93" s="24"/>
      <x:c r="S93" s="22" t="str">
        <x:v>原問：意匠の審判に関する次の記述のうち、誤っているものは、どれか。</x:v>
      </x:c>
    </x:row>
    <x:row r="94">
      <x:c r="A94" s="22" t="str">
        <x:v>R02-D09-2</x:v>
      </x:c>
      <x:c r="B94" s="22" t="str">
        <x:v>意匠</x:v>
      </x:c>
      <x:c r="C94" s="22" t="str">
        <x:v>意匠の審判</x:v>
      </x:c>
      <x:c r="D94" s="22" t="str">
        <x:v>意匠の審判／2</x:v>
      </x:c>
      <x:c r="E94" s="22" t="str">
        <x:v>○×</x:v>
      </x:c>
      <x:c r="F94" s="22" t="str">
        <x:v>確定審決に対して、当事者及び参加人以外の者が再審請求をできる場合はない。</x:v>
      </x:c>
      <x:c r="G94" s="22" t="str">
        <x:v>×</x:v>
      </x:c>
      <x:c r="H94" s="22" t="str">
        <x:v>確定審決に対しては、当事者又は参加人は、再審を請求することができるとされているが（意５３条１項）、審判の請求人及び被請求人が共謀して第三者の権利又は利益を害する目的をもって審決をさせたときは、当事者又は参加人でなくとも、その第三者は、その確定審決に対し再審を請求することができる（意５４条１項）。よって、本枝は誤り。
※　例えば、意匠権者Aが自らの意匠権を担保として質権者Bに質入れしていたにもかかわらず、Aが第三者Cと図ってCに無効審判を請求させ、Aは審判で争わずに意匠権の無効審決を確定させるような場合である。この結果、B（質権者）の担保権は意匠権消滅により失われてしまい、Bの権利利益が害されたことになる。</x:v>
      </x:c>
      <x:c r="I94" s="22" t="str">
        <x:v>意５３条１項、意５４条１項</x:v>
      </x:c>
      <x:c r="J94" s="22" t="str"/>
      <x:c r="K94" s="22" t="str">
        <x:v>令和2年度短答（TAC過去問）／【意匠】9 2／スライド154</x:v>
      </x:c>
      <x:c r="L94" s="22" t="n">
        <x:v>0</x:v>
      </x:c>
      <x:c r="M94" s="22" t="n">
        <x:v>0</x:v>
      </x:c>
      <x:c r="N94" s="23" t="str">
        <x:f>IF(SUM(L94:M94)=0,"",L94/SUM(L94:M94))</x:f>
      </x:c>
      <x:c r="O94" s="22" t="str">
        <x:f>IF(SUM(L94:M94)=0,"NEW",IF(N94&gt;=0.9,"A",IF(N94&gt;=0.75,"B",IF(N94&gt;=0.5,"C","D"))))</x:f>
        <x:v>NEW</x:v>
      </x:c>
      <x:c r="P94" s="22" t="n">
        <x:v>0</x:v>
      </x:c>
      <x:c r="Q94" s="24"/>
      <x:c r="R94" s="24"/>
      <x:c r="S94" s="22" t="str">
        <x:v>原問：意匠の審判に関する次の記述のうち、誤っているものは、どれか。</x:v>
      </x:c>
    </x:row>
    <x:row r="95">
      <x:c r="A95" s="22" t="str">
        <x:v>R02-D09-3</x:v>
      </x:c>
      <x:c r="B95" s="22" t="str">
        <x:v>意匠</x:v>
      </x:c>
      <x:c r="C95" s="22" t="str">
        <x:v>意匠の審判</x:v>
      </x:c>
      <x:c r="D95" s="22" t="str">
        <x:v>意匠の審判／3</x:v>
      </x:c>
      <x:c r="E95" s="22" t="str">
        <x:v>○×</x:v>
      </x:c>
      <x:c r="F95" s="22" t="str">
        <x:v>拒絶査定不服審判において、拒絶をすべき旨の査定の拒絶理由とは異なる新たな拒絶理由が発見された。この場合、審判官は、拒絶の理由を通知し、当該審判の請求人に意見書を提出する機会を与えなければ、その新たな拒絶理由をもって審判請求が成り立たない旨の審決をすることはできない。</x:v>
      </x:c>
      <x:c r="G95" s="22" t="str">
        <x:v>○</x:v>
      </x:c>
      <x:c r="H95" s="22" t="str">
        <x:v>拒絶査定不服審判において査定の理由と異なる拒絶の理由を発見した場合、審判官は、当該審判の請求人に対し、当該拒絶の理由を通知し、相当の期間を指定して、意見書を提出する機会を与えなければならない（意５０条３項で準用する特５０条）。したがって、本枝の場合、審判官は、拒絶の理由を通知し、当該審判の請求人に意見書を提出する機会を与えなければ、その新たな拒絶理由をもって審判請求が成り立たない旨の審決をすることはできない。よって、本枝は正しい。</x:v>
      </x:c>
      <x:c r="I95" s="22" t="str">
        <x:v>意５０条３項、特５０条</x:v>
      </x:c>
      <x:c r="J95" s="22" t="str"/>
      <x:c r="K95" s="22" t="str">
        <x:v>令和2年度短答（TAC過去問）／【意匠】9 3／スライド155</x:v>
      </x:c>
      <x:c r="L95" s="22" t="n">
        <x:v>0</x:v>
      </x:c>
      <x:c r="M95" s="22" t="n">
        <x:v>0</x:v>
      </x:c>
      <x:c r="N95" s="23" t="str">
        <x:f>IF(SUM(L95:M95)=0,"",L95/SUM(L95:M95))</x:f>
      </x:c>
      <x:c r="O95" s="22" t="str">
        <x:f>IF(SUM(L95:M95)=0,"NEW",IF(N95&gt;=0.9,"A",IF(N95&gt;=0.75,"B",IF(N95&gt;=0.5,"C","D"))))</x:f>
        <x:v>NEW</x:v>
      </x:c>
      <x:c r="P95" s="22" t="n">
        <x:v>0</x:v>
      </x:c>
      <x:c r="Q95" s="24"/>
      <x:c r="R95" s="24"/>
      <x:c r="S95" s="22" t="str">
        <x:v>原問：意匠の審判に関する次の記述のうち、誤っているものは、どれか。</x:v>
      </x:c>
    </x:row>
    <x:row r="96">
      <x:c r="A96" s="22" t="str">
        <x:v>R02-D10-イ</x:v>
      </x:c>
      <x:c r="B96" s="22" t="str">
        <x:v>意匠</x:v>
      </x:c>
      <x:c r="C96" s="22" t="str">
        <x:v>甲は登録意匠イに係る意匠権を有している。甲の意匠権及びその実施権等</x:v>
      </x:c>
      <x:c r="D96" s="22" t="str">
        <x:v>甲は登録意匠イに係る意匠権を有している。甲の意匠権及びその実施権等／（イ）</x:v>
      </x:c>
      <x:c r="E96" s="22" t="str">
        <x:v>○×</x:v>
      </x:c>
      <x:c r="F96" s="22" t="str">
        <x:v>乙は、甲の意匠イに係る意匠登録出願の際、意匠イを知らないで、自らその意匠イに類似する意匠ロの創作をし、現に日本国内において意匠ロに係る物品の製造である事業の準備をしていた。乙は、製造の準備をしていた意匠ロ及び事業の目的の範囲内において、甲の意匠権について、先出願による通常実施権を有する場合がある。</x:v>
      </x:c>
      <x:c r="G96" s="22" t="str">
        <x:v>×</x:v>
      </x:c>
      <x:c r="H96" s="22" t="str">
        <x:v>先使用による通常実施権が認められる場合、先出願による通常実施権を主張することはできない（意２９条の２柱書かっこ書）。
先使用による通常実施権に該当する場合が先出願による通常実施権から除かれるのは、後願に係る意匠登録出願前からの実施等について複数の通常実施権（２９条及び２９条の２の法定通常実施権）が認められることとした場合は、後願の意匠権者の権利を不当に制約することにもなりかねないからである。
したがって、第２９条の先使用による通常実施権及び第２９条の２の先出願による通常実施権の要件をともに満たしている場合は、第２９条の先使用による通常実施権のみしか主張することができない。
本枝では、乙は、意匠イを知らないで自らこれに類似する意匠ロの創作をし、甲の意匠イに係る意匠登録出願の際、現に日本国内において意匠ロに係る物品の製造である事業の準備をしていた者であるため、準備をしていた意匠ロ及び事業の目的の範囲内において、甲の意匠登録出願に係る意匠権について通常実施権を有する（意２９条）。そのため、乙が、甲の意匠権について、先出願による通常実施権を有する場合はない（意２９条の２柱書かっこ書）。よって、本枝は誤り。
※　問題文を最後までしっかり読むこと。</x:v>
      </x:c>
      <x:c r="I96" s="22" t="str">
        <x:v>意２９条の２、意２９条</x:v>
      </x:c>
      <x:c r="J96" s="22" t="str"/>
      <x:c r="K96" s="22" t="str">
        <x:v>令和2年度短答（TAC過去問）／【意匠】10 （イ）／スライド156-157</x:v>
      </x:c>
      <x:c r="L96" s="22" t="n">
        <x:v>0</x:v>
      </x:c>
      <x:c r="M96" s="22" t="n">
        <x:v>0</x:v>
      </x:c>
      <x:c r="N96" s="23" t="str">
        <x:f>IF(SUM(L96:M96)=0,"",L96/SUM(L96:M96))</x:f>
      </x:c>
      <x:c r="O96" s="22" t="str">
        <x:f>IF(SUM(L96:M96)=0,"NEW",IF(N96&gt;=0.9,"A",IF(N96&gt;=0.75,"B",IF(N96&gt;=0.5,"C","D"))))</x:f>
        <x:v>NEW</x:v>
      </x:c>
      <x:c r="P96" s="22" t="n">
        <x:v>0</x:v>
      </x:c>
      <x:c r="Q96" s="24"/>
      <x:c r="R96" s="24"/>
      <x:c r="S96" s="22" t="str">
        <x:v>原問：甲は登録意匠イに係る意匠権を有している。甲の意匠権及びその実施権等に関し、次の（イ）～（ニ）のうち、正しいものは、いくつあるか。（ただし書省略）</x:v>
      </x:c>
    </x:row>
    <x:row r="97">
      <x:c r="A97" s="22" t="str">
        <x:v>R02-D10-ロ</x:v>
      </x:c>
      <x:c r="B97" s="22" t="str">
        <x:v>意匠</x:v>
      </x:c>
      <x:c r="C97" s="22" t="str">
        <x:v>甲は登録意匠イに係る意匠権を有している。甲の意匠権及びその実施権等</x:v>
      </x:c>
      <x:c r="D97" s="22" t="str">
        <x:v>甲は登録意匠イに係る意匠権を有している。甲の意匠権及びその実施権等／（ロ）</x:v>
      </x:c>
      <x:c r="E97" s="22" t="str">
        <x:v>○×</x:v>
      </x:c>
      <x:c r="F97" s="22" t="str">
        <x:v>甲は、単独で創作した意匠イについて意匠登録を受け、その後、意匠イに類似する意匠ロについて出願し、意匠イを本意匠とする関連意匠として登録を受けた。しかし、関連意匠ロは甲と乙の共同創作であって、意匠登録を受ける権利を有していたのは甲と乙であった。意匠イに係る意匠権が存続している場合、乙は、甲に対し、関連意匠ロに係る意匠権の持分の移転を請求することはできない。</x:v>
      </x:c>
      <x:c r="G97" s="22" t="str">
        <x:v>○</x:v>
      </x:c>
      <x:c r="H97" s="22" t="str">
        <x:v>基礎意匠及びその関連意匠の意匠権は、分離して移転することができない（意２２条１項）。関連意匠ロにつき、意匠登録を受ける権利を有していたのは甲と乙であって、意匠ロに係る意匠登録が意１５条１項において準用する特３８条の規定に違反してされたとして意４８条１項１号に規定する要件（いわゆる共同出願違反の無効理由）に該当するときは、当該意匠登録に係る意匠ロについて意匠登録を受ける権利を有する者である乙は、経済産業省令で定めるところにより、その意匠権者である甲に対し、当該意匠権の移転を請求することができる（意２６条の２第１項）、とも考えられる。
しかし、乙は、基礎意匠である意匠イについて意匠登録を受ける権利を有する者でなく、基礎意匠及びその関連意匠の意匠権の分離移転が禁止されていることから、乙は、甲に対し、関連意匠ロに係る意匠権の持分の移転を請求することはできない。よって、本枝は正しい。
なお、乙は意４８条による無効審判で甲の単独権利を排除でき、また、合意があれば、権利群全体の持分移転又は通常実施権の設定も考えられる。</x:v>
      </x:c>
      <x:c r="I97" s="22" t="str">
        <x:v>意２２条１項、意１５条１項、特３８条、意４８条１項１号、意２６条の２第１項、意４８条</x:v>
      </x:c>
      <x:c r="J97" s="22" t="str"/>
      <x:c r="K97" s="22" t="str">
        <x:v>令和2年度短答（TAC過去問）／【意匠】10 （ロ）／スライド158-159</x:v>
      </x:c>
      <x:c r="L97" s="22" t="n">
        <x:v>0</x:v>
      </x:c>
      <x:c r="M97" s="22" t="n">
        <x:v>0</x:v>
      </x:c>
      <x:c r="N97" s="23" t="str">
        <x:f>IF(SUM(L97:M97)=0,"",L97/SUM(L97:M97))</x:f>
      </x:c>
      <x:c r="O97" s="22" t="str">
        <x:f>IF(SUM(L97:M97)=0,"NEW",IF(N97&gt;=0.9,"A",IF(N97&gt;=0.75,"B",IF(N97&gt;=0.5,"C","D"))))</x:f>
        <x:v>NEW</x:v>
      </x:c>
      <x:c r="P97" s="22" t="n">
        <x:v>0</x:v>
      </x:c>
      <x:c r="Q97" s="24"/>
      <x:c r="R97" s="24"/>
      <x:c r="S97" s="22" t="str">
        <x:v>原問：甲は登録意匠イに係る意匠権を有している。甲の意匠権及びその実施権等に関し、次の（イ）～（ニ）のうち、正しいものは、いくつあるか。（ただし書省略）</x:v>
      </x:c>
    </x:row>
    <x:row r="98">
      <x:c r="A98" s="22" t="str">
        <x:v>R02-D10-ハ</x:v>
      </x:c>
      <x:c r="B98" s="22" t="str">
        <x:v>意匠</x:v>
      </x:c>
      <x:c r="C98" s="22" t="str">
        <x:v>甲は登録意匠イに係る意匠権を有している。甲の意匠権及びその実施権等</x:v>
      </x:c>
      <x:c r="D98" s="22" t="str">
        <x:v>甲は登録意匠イに係る意匠権を有している。甲の意匠権及びその実施権等／（ハ）</x:v>
      </x:c>
      <x:c r="E98" s="22" t="str">
        <x:v>○×</x:v>
      </x:c>
      <x:c r="F98" s="22" t="str">
        <x:v>乙は、甲から、意匠イに係る意匠権の通常実施権の許諾を受けて、意匠イの実施の事業をしている。乙は、意匠イの実施の事業を丙に譲渡することにした。乙は、甲の承諾を得なければ、甲の意匠権に係る通常実施権を丙に移転することができない。</x:v>
      </x:c>
      <x:c r="G98" s="22" t="str">
        <x:v>×</x:v>
      </x:c>
      <x:c r="H98" s="22" t="str">
        <x:v>通常実施権は、裁定による通常実施権を除き、①実施の事業とともにする場合、②意匠権者の承諾を得た場合及び③相続その他の一般承継の場合に限り、移転することができる（意３４条１項）。本枝の通常実施権は、許諾による通常実施権（意２８条１項）であるため、②の場合でなくとも、①又は③の場合であっても、通常実施権の移転が認められる。したがって、乙は、①実施の事業とともにする場合であれば、意匠権者である甲の承諾を得なくとも、甲の意匠権に係る通常実施権を丙に移転することができる。よって、本枝は誤り。
【参考】
原則：裁定通常実施権は移転できない。
例外：
①「不実施・公共の利益」の場合の裁定通常実施権は、実施の事業とともにする場合
②「利用・抵触の場合の後願者」の裁定通常実施権は、実施の事業とともにする場合において、特許権等も移転するとき
②「利用・抵触の場合の先願者」の裁定通常実施権は、先願権利者の特許権とともに移転
裁定通常実施権の移転条件は、その権利が何に付随するかで異なる。不実施・公共の利益型は、実施確保のための権利なので「実施の事業」に付随する。利用・抵触型は自己の特許権等を実施するための権利なので「基礎となる権利」に付随する。後願者側は「後願権＋事業」とともに移転し、先願者側は先願権に従って移転する。許諾通常実施権とは別ルールである。</x:v>
      </x:c>
      <x:c r="I98" s="22" t="str">
        <x:v>意３４条１項、意２８条１項</x:v>
      </x:c>
      <x:c r="J98" s="22" t="str"/>
      <x:c r="K98" s="22" t="str">
        <x:v>令和2年度短答（TAC過去問）／【意匠】10 （ハ）／スライド160-161</x:v>
      </x:c>
      <x:c r="L98" s="22" t="n">
        <x:v>0</x:v>
      </x:c>
      <x:c r="M98" s="22" t="n">
        <x:v>0</x:v>
      </x:c>
      <x:c r="N98" s="23" t="str">
        <x:f>IF(SUM(L98:M98)=0,"",L98/SUM(L98:M98))</x:f>
      </x:c>
      <x:c r="O98" s="22" t="str">
        <x:f>IF(SUM(L98:M98)=0,"NEW",IF(N98&gt;=0.9,"A",IF(N98&gt;=0.75,"B",IF(N98&gt;=0.5,"C","D"))))</x:f>
        <x:v>NEW</x:v>
      </x:c>
      <x:c r="P98" s="22" t="n">
        <x:v>0</x:v>
      </x:c>
      <x:c r="Q98" s="24"/>
      <x:c r="R98" s="24"/>
      <x:c r="S98" s="22" t="str">
        <x:v>原問：甲は登録意匠イに係る意匠権を有している。甲の意匠権及びその実施権等に関し、次の（イ）～（ニ）のうち、正しいものは、いくつあるか。（ただし書省略）</x:v>
      </x:c>
    </x:row>
    <x:row r="99">
      <x:c r="A99" s="22" t="str">
        <x:v>R02-D10-ニ</x:v>
      </x:c>
      <x:c r="B99" s="22" t="str">
        <x:v>意匠</x:v>
      </x:c>
      <x:c r="C99" s="22" t="str">
        <x:v>甲は登録意匠イに係る意匠権を有している。甲の意匠権及びその実施権等</x:v>
      </x:c>
      <x:c r="D99" s="22" t="str">
        <x:v>甲は登録意匠イに係る意匠権を有している。甲の意匠権及びその実施権等／（ニ）</x:v>
      </x:c>
      <x:c r="E99" s="22" t="str">
        <x:v>○×</x:v>
      </x:c>
      <x:c r="F99" s="22" t="str">
        <x:v>乙は意匠ロについて意匠登録を受けていた。その後、甲は意匠ロに類似しない意匠イについて意匠登録出願をし、意匠登録を受けた。乙は、意匠イの出願後、かつ意匠ロに係る意匠権の存続中に、意匠ロに類似する意匠ハを実施していた。意匠ハは意匠イにも類似していた。乙は、意匠ロに係る意匠権の存続期間満了後も意匠ハを実施するためには、甲に対し協議を求めて通常実施権の許諾を得なければならない。その協議が成立せず、又は協議をすることができないときは、乙は特許庁長官の裁定を請求しなければならない。</x:v>
      </x:c>
      <x:c r="G99" s="22" t="str">
        <x:v>×</x:v>
      </x:c>
      <x:c r="H99" s="22" t="str">
        <x:v>甲の意匠イに係る意匠登録出願の日前の意匠登録出願に係る乙の意匠ロに係る意匠権のうち、登録意匠ロに類似する意匠ハに係る部分が甲の意匠イに係る意匠権と抵触する場合において、意匠ロに係る意匠権の存続期間が満了したときは、その原意匠権者である乙は、原意匠権の範囲内において、甲の意匠イに係る意匠権について通常実施権を有する（意３１条１項）。
したがって、乙は、甲に対し協議を求めて通常実施権の許諾を得なくても、乙は意匠ロに係る意匠権の存続期間満了後も意匠ハを実施することができる。よって、本枝は誤り。
（意匠権等の存続期間満了後の通常実施権）
第３１条　意匠登録出願の日前又はこれと同日の意匠登録出願に係る意匠権のうち登録意匠に類似する意匠に係る部分がその意匠登録出願に係る意匠権と抵触する場合において、その意匠権の存続期間が満了したときは、その原意匠権者は、原意匠権の範囲内において、当該意匠権又はその意匠権の存続期間の満了の際現に存する専用実施権について通常実施権を有する。</x:v>
      </x:c>
      <x:c r="I99" s="22" t="str">
        <x:v>意３１条１項</x:v>
      </x:c>
      <x:c r="J99" s="22" t="str"/>
      <x:c r="K99" s="22" t="str">
        <x:v>令和2年度短答（TAC過去問）／【意匠】10 （ニ）／スライド162-163</x:v>
      </x:c>
      <x:c r="L99" s="22" t="n">
        <x:v>0</x:v>
      </x:c>
      <x:c r="M99" s="22" t="n">
        <x:v>0</x:v>
      </x:c>
      <x:c r="N99" s="23" t="str">
        <x:f>IF(SUM(L99:M99)=0,"",L99/SUM(L99:M99))</x:f>
      </x:c>
      <x:c r="O99" s="22" t="str">
        <x:f>IF(SUM(L99:M99)=0,"NEW",IF(N99&gt;=0.9,"A",IF(N99&gt;=0.75,"B",IF(N99&gt;=0.5,"C","D"))))</x:f>
        <x:v>NEW</x:v>
      </x:c>
      <x:c r="P99" s="22" t="n">
        <x:v>0</x:v>
      </x:c>
      <x:c r="Q99" s="24"/>
      <x:c r="R99" s="24"/>
      <x:c r="S99" s="22" t="str">
        <x:v>原問：甲は登録意匠イに係る意匠権を有している。甲の意匠権及びその実施権等に関し、次の（イ）～（ニ）のうち、正しいものは、いくつあるか。（ただし書省略）</x:v>
      </x:c>
    </x:row>
    <x:row r="100">
      <x:c r="A100" s="22" t="str">
        <x:v>R02-T01-5</x:v>
      </x:c>
      <x:c r="B100" s="22" t="str">
        <x:v>商標</x:v>
      </x:c>
      <x:c r="C100" s="22" t="str">
        <x:v>商標法第１条（目的）</x:v>
      </x:c>
      <x:c r="D100" s="22" t="str">
        <x:v>商標法第１条（目的）／5</x:v>
      </x:c>
      <x:c r="E100" s="22" t="str">
        <x:v>○×</x:v>
      </x:c>
      <x:c r="F100" s="22" t="str">
        <x:v>商標法が産業の発達に寄与することを目的の１つとしているのに対し、著作権法は文化の発展に寄与することを目的としている。このような目的の相違があるので、著作権法により保護される著作物が、同時に、商品及び役務の識別標識として商標法によって保護されることはない。
【共通条件】ただし、マドリッド協定の議定書に基づく特例は考慮しないものとする。</x:v>
      </x:c>
      <x:c r="G100" s="22" t="str">
        <x:v>×</x:v>
      </x:c>
      <x:c r="H100" s="22" t="str">
        <x:v>商１条には、商標法は産業の発達に寄与することを目的とすることが規定されている。これに対し、著１条には、著作権法は文化の発展に寄与することを目的とすることが規定されている。したがって、本枝の前段は正しい。
そして、商２９条には、著作権の効力が及ぶ絵画図形等を商標として使用すること等によって生じる商標権と著作権との抵触を調整する規定が置かれていることからも（青本商２９条）、著作権法により保護される著作物が、商品及び役務の識別標識として商標法によって保護されうることが想定されている。したがって、本枝の後段は誤り。よって、本枝は誤り。</x:v>
      </x:c>
      <x:c r="I100" s="22" t="str">
        <x:v>商１条、著１条、商２９条</x:v>
      </x:c>
      <x:c r="J100" s="22" t="str"/>
      <x:c r="K100" s="22" t="str">
        <x:v>令和2年度短答（TAC過去問）／【商標】1 5／スライド164</x:v>
      </x:c>
      <x:c r="L100" s="22" t="n">
        <x:v>0</x:v>
      </x:c>
      <x:c r="M100" s="22" t="n">
        <x:v>0</x:v>
      </x:c>
      <x:c r="N100" s="23" t="str">
        <x:f>IF(SUM(L100:M100)=0,"",L100/SUM(L100:M100))</x:f>
      </x:c>
      <x:c r="O100" s="22" t="str">
        <x:f>IF(SUM(L100:M100)=0,"NEW",IF(N100&gt;=0.9,"A",IF(N100&gt;=0.75,"B",IF(N100&gt;=0.5,"C","D"))))</x:f>
        <x:v>NEW</x:v>
      </x:c>
      <x:c r="P100" s="22" t="n">
        <x:v>0</x:v>
      </x:c>
      <x:c r="Q100" s="24"/>
      <x:c r="R100" s="24"/>
      <x:c r="S100" s="22" t="str">
        <x:v>原問：商標法第１条（目的）に関し、次のうち、誤っているものは、どれか。　
ただし、マドリッド協定の議定書に基づく特例は考慮しないものとする。</x:v>
      </x:c>
    </x:row>
    <x:row r="101">
      <x:c r="A101" s="22" t="str">
        <x:v>R02-T02-1</x:v>
      </x:c>
      <x:c r="B101" s="22" t="str">
        <x:v>商標</x:v>
      </x:c>
      <x:c r="C101" s="22" t="str">
        <x:v>商標法におけるマドリッド協定の議定書に基づく特例</x:v>
      </x:c>
      <x:c r="D101" s="22" t="str">
        <x:v>商標法におけるマドリッド協定の議定書に基づく特例／1</x:v>
      </x:c>
      <x:c r="E101" s="22" t="str">
        <x:v>○×</x:v>
      </x:c>
      <x:c r="F101" s="22" t="str">
        <x:v>特許庁長官は、国際商標登録出願があったときは、出願公開をしなければならないが、願書に記載した商標について、これを商標公報に掲載することが公の秩序又は善良の風俗を害するおそれがあると特許庁長官が認めるときは、当該商標は掲載されない。</x:v>
      </x:c>
      <x:c r="G101" s="22" t="str">
        <x:v>○</x:v>
      </x:c>
      <x:c r="H101" s="22" t="str">
        <x:v>特許庁長官は、「商標登録出願」があったときは、出願公開をしなければならない【商１２条の２①】。
一方、日本国を指定する領域指定は、国際登録の日にされた「商標登録出願とみなす」【商６８条の９①】。即ち、国際商標登録出願も、商１２条の２における「商標登録出願」に該当して、出願公開の対象となる。
従って、商標が商標公報に掲載することが「公の秩序又は善良の風俗を害するおそれがあると特許庁長官が認めるときは、当該事項（本枝では商標（同３号）は掲載されない」【商１２条の２第２項ただし書、同項３号】。よって、正しい。
なお、国際商標登録出願については、公報掲載事項について、読替規定が設けられている（商６８条の１４）。</x:v>
      </x:c>
      <x:c r="I101" s="22" t="str">
        <x:v>商１２条の２①、商６８条の９①、商１２条の２、商１２条の２第２項、商６８条の１４</x:v>
      </x:c>
      <x:c r="J101" s="22" t="str"/>
      <x:c r="K101" s="22" t="str">
        <x:v>令和2年度短答（TAC過去問）／【商標】2 1／スライド165</x:v>
      </x:c>
      <x:c r="L101" s="22" t="n">
        <x:v>0</x:v>
      </x:c>
      <x:c r="M101" s="22" t="n">
        <x:v>0</x:v>
      </x:c>
      <x:c r="N101" s="23" t="str">
        <x:f>IF(SUM(L101:M101)=0,"",L101/SUM(L101:M101))</x:f>
      </x:c>
      <x:c r="O101" s="22" t="str">
        <x:f>IF(SUM(L101:M101)=0,"NEW",IF(N101&gt;=0.9,"A",IF(N101&gt;=0.75,"B",IF(N101&gt;=0.5,"C","D"))))</x:f>
        <x:v>NEW</x:v>
      </x:c>
      <x:c r="P101" s="22" t="n">
        <x:v>0</x:v>
      </x:c>
      <x:c r="Q101" s="24"/>
      <x:c r="R101" s="24"/>
      <x:c r="S101" s="22" t="str">
        <x:v>原問：商標法におけるマドリッド協定の議定書に基づく特例に関し、次のうち、正しいものは、どれか。</x:v>
      </x:c>
    </x:row>
    <x:row r="102">
      <x:c r="A102" s="22" t="str">
        <x:v>R02-T02-2</x:v>
      </x:c>
      <x:c r="B102" s="22" t="str">
        <x:v>商標</x:v>
      </x:c>
      <x:c r="C102" s="22" t="str">
        <x:v>商標法におけるマドリッド協定の議定書に基づく特例</x:v>
      </x:c>
      <x:c r="D102" s="22" t="str">
        <x:v>商標法におけるマドリッド協定の議定書に基づく特例／2</x:v>
      </x:c>
      <x:c r="E102" s="22" t="str">
        <x:v>○×</x:v>
      </x:c>
      <x:c r="F102" s="22" t="str">
        <x:v>日本国民又は日本国内に住所若しくは居所を有する外国人は、特許庁に係属している自己の商標登録出願を基礎として国際登録出願をすることができるが、自己の防護標章登録出願を基礎として国際登録出願をすることはできない。</x:v>
      </x:c>
      <x:c r="G102" s="22" t="str">
        <x:v>×</x:v>
      </x:c>
      <x:c r="H102" s="22" t="str">
        <x:v>日本国民又は日本国内に住所若しくは居所を有する外国人であって議定書２条（１）に規定する国際登録を受けようとする者は、特許庁長官に、「特許庁に係属している自己の商標登録出願又は防護標章登録出願」（１号）、「自己の商標登録又は防護標章登録」（２号）のいずれかを基礎とした議定書２条（２）に規定する国際登録出願をしなければならない【商６８条の２①】。
防護標章登録出願、防護標章登録も国際登録出願の基礎出願、基礎登録とすることができることとした理由は、これらは我が国において著名な標章として国内のみならず海外においても保護する必要性が極めて高いものであるところ、仮にこれらを基礎とすることができないこととすると、防護標章登録を受けた指定商品又は指定役務と同一の指定商品又は指定役務については再度、商標登録出願を行わなければならないという負担を課することになり妥当ではないこと、及び我が国における著名な標章を用いて外国において新規事業を開拓することに資することにある（青本）。
従って、日本国民等が国際登録出願をするときは、自己の商標登録出願又は商標登録のみならず、自己の防護標章登録出願又は防護標章登録を基礎とすることもできる。よって、誤り。</x:v>
      </x:c>
      <x:c r="I102" s="22" t="str">
        <x:v>商６８条の２①</x:v>
      </x:c>
      <x:c r="J102" s="22" t="str"/>
      <x:c r="K102" s="22" t="str">
        <x:v>令和2年度短答（TAC過去問）／【商標】2 2／スライド167-168</x:v>
      </x:c>
      <x:c r="L102" s="22" t="n">
        <x:v>0</x:v>
      </x:c>
      <x:c r="M102" s="22" t="n">
        <x:v>0</x:v>
      </x:c>
      <x:c r="N102" s="23" t="str">
        <x:f>IF(SUM(L102:M102)=0,"",L102/SUM(L102:M102))</x:f>
      </x:c>
      <x:c r="O102" s="22" t="str">
        <x:f>IF(SUM(L102:M102)=0,"NEW",IF(N102&gt;=0.9,"A",IF(N102&gt;=0.75,"B",IF(N102&gt;=0.5,"C","D"))))</x:f>
        <x:v>NEW</x:v>
      </x:c>
      <x:c r="P102" s="22" t="n">
        <x:v>0</x:v>
      </x:c>
      <x:c r="Q102" s="24"/>
      <x:c r="R102" s="24"/>
      <x:c r="S102" s="22" t="str">
        <x:v>原問：商標法におけるマドリッド協定の議定書に基づく特例に関し、次のうち、正しいものは、どれか。</x:v>
      </x:c>
    </x:row>
    <x:row r="103">
      <x:c r="A103" s="22" t="str">
        <x:v>R02-T02-3</x:v>
      </x:c>
      <x:c r="B103" s="22" t="str">
        <x:v>商標</x:v>
      </x:c>
      <x:c r="C103" s="22" t="str">
        <x:v>商標法におけるマドリッド協定の議定書に基づく特例</x:v>
      </x:c>
      <x:c r="D103" s="22" t="str">
        <x:v>商標法におけるマドリッド協定の議定書に基づく特例／3</x:v>
      </x:c>
      <x:c r="E103" s="22" t="str">
        <x:v>○×</x:v>
      </x:c>
      <x:c r="F103" s="22" t="str">
        <x:v>日本国を指定する領域指定は、国際登録の日にされた商標登録出願とみなされるが、事後指定の場合は、当該事後指定の通知が特許庁に受理された日にされた商標登録出願とみなされる。</x:v>
      </x:c>
      <x:c r="G103" s="22" t="str">
        <x:v>×</x:v>
      </x:c>
      <x:c r="H103" s="22" t="str">
        <x:v>日本国を指定する領域指定は、国際登録の日にされた商標登録出願とみなされる（商６８条の９第１項本文）。これは、締約国に直接に商標登録出願したのと同様の保護を与えなければならないという議定書４条⑴⒜第一文の規定に基づくものである。したがって、本枝の前段は正しい。
これに対し、事後指定の場合は、国際登録に係る事後指定が国際登録簿に記録された日（事後指定の日）にされた商標登録出願とみなされる（商６８条の９第１項ただし書）。すなわち、事後指定の場合は、「当該事後指定の通知が特許庁に受理された日にされた商標登録出願」とみなされるのではなく、「事後指定が国際登録簿に記録された日にされた商標登録出願」とみなされる。したがって、本枝の後段は誤り。よって、本枝は全体として誤り。</x:v>
      </x:c>
      <x:c r="I103" s="22" t="str">
        <x:v>商６８条の９第１項</x:v>
      </x:c>
      <x:c r="J103" s="22" t="str"/>
      <x:c r="K103" s="22" t="str">
        <x:v>令和2年度短答（TAC過去問）／【商標】2 3／スライド169</x:v>
      </x:c>
      <x:c r="L103" s="22" t="n">
        <x:v>0</x:v>
      </x:c>
      <x:c r="M103" s="22" t="n">
        <x:v>0</x:v>
      </x:c>
      <x:c r="N103" s="23" t="str">
        <x:f>IF(SUM(L103:M103)=0,"",L103/SUM(L103:M103))</x:f>
      </x:c>
      <x:c r="O103" s="22" t="str">
        <x:f>IF(SUM(L103:M103)=0,"NEW",IF(N103&gt;=0.9,"A",IF(N103&gt;=0.75,"B",IF(N103&gt;=0.5,"C","D"))))</x:f>
        <x:v>NEW</x:v>
      </x:c>
      <x:c r="P103" s="22" t="n">
        <x:v>0</x:v>
      </x:c>
      <x:c r="Q103" s="24"/>
      <x:c r="R103" s="24"/>
      <x:c r="S103" s="22" t="str">
        <x:v>原問：商標法におけるマドリッド協定の議定書に基づく特例に関し、次のうち、正しいものは、どれか。</x:v>
      </x:c>
    </x:row>
    <x:row r="104">
      <x:c r="A104" s="22" t="str">
        <x:v>R02-T02-4</x:v>
      </x:c>
      <x:c r="B104" s="22" t="str">
        <x:v>商標</x:v>
      </x:c>
      <x:c r="C104" s="22" t="str">
        <x:v>商標法におけるマドリッド協定の議定書に基づく特例</x:v>
      </x:c>
      <x:c r="D104" s="22" t="str">
        <x:v>商標法におけるマドリッド協定の議定書に基づく特例／4</x:v>
      </x:c>
      <x:c r="E104" s="22" t="str">
        <x:v>○×</x:v>
      </x:c>
      <x:c r="F104" s="22" t="str">
        <x:v>国際登録に基づく商標権の設定の登録を受けようとする者は、商標法第６８条の３０第１項第２号に掲げる額の個別手数料を特許庁に納付しなければならない。</x:v>
      </x:c>
      <x:c r="G104" s="22" t="str">
        <x:v>×</x:v>
      </x:c>
      <x:c r="H104" s="22" t="str">
        <x:v>国際登録に基づく商標権の設定の登録を受けようとする者は、個別手数料として、一件ごとに、商標法第６８条の３０第１項第２号に掲げる額を、国際登録前に「国際事務局」に納付しなければならない（商６８条の３０第１項）。これに対し、本枝は、個別手数料を「特許庁」に納付しなければならない、としている。よって、本枝は誤り。
我が国は、議定書第８条(７)(ａ)の宣言を行い個別手数料の徴収を選択している。すなわち、追加手数料・付加手数料では手数料として不足する場合、締約国は個別手数料を定めることができる。この個別手数料は、国際事務局の責任において徴収され、国際事務局より国際登録による保護を求められた締約国である日本国に払い込まれる。
従来、国際出願時と指定国における商標権の付与（設定登録）時に分けて納付させる方法（以下「二段階納付」）を採用していたが、令和３年の法改正により出願手数料と登録料に相当する額を個別手数料として一括で納付する制度へ移行した。なお、商標登録がされなかった場合に登録料に相当する額を返還する制度はない。</x:v>
      </x:c>
      <x:c r="I104" s="22" t="str">
        <x:v>商６８条の３０第１項</x:v>
      </x:c>
      <x:c r="J104" s="22" t="str"/>
      <x:c r="K104" s="22" t="str">
        <x:v>令和2年度短答（TAC過去問）／【商標】2 4／スライド170-171</x:v>
      </x:c>
      <x:c r="L104" s="22" t="n">
        <x:v>0</x:v>
      </x:c>
      <x:c r="M104" s="22" t="n">
        <x:v>0</x:v>
      </x:c>
      <x:c r="N104" s="23" t="str">
        <x:f>IF(SUM(L104:M104)=0,"",L104/SUM(L104:M104))</x:f>
      </x:c>
      <x:c r="O104" s="22" t="str">
        <x:f>IF(SUM(L104:M104)=0,"NEW",IF(N104&gt;=0.9,"A",IF(N104&gt;=0.75,"B",IF(N104&gt;=0.5,"C","D"))))</x:f>
        <x:v>NEW</x:v>
      </x:c>
      <x:c r="P104" s="22" t="n">
        <x:v>0</x:v>
      </x:c>
      <x:c r="Q104" s="24"/>
      <x:c r="R104" s="24"/>
      <x:c r="S104" s="22" t="str">
        <x:v>原問：商標法におけるマドリッド協定の議定書に基づく特例に関し、次のうち、正しいものは、どれか。</x:v>
      </x:c>
    </x:row>
    <x:row r="105">
      <x:c r="A105" s="22" t="str">
        <x:v>R02-T02-5</x:v>
      </x:c>
      <x:c r="B105" s="22" t="str">
        <x:v>商標</x:v>
      </x:c>
      <x:c r="C105" s="22" t="str">
        <x:v>商標法におけるマドリッド協定の議定書に基づく特例</x:v>
      </x:c>
      <x:c r="D105" s="22" t="str">
        <x:v>商標法におけるマドリッド協定の議定書に基づく特例／5</x:v>
      </x:c>
      <x:c r="E105" s="22" t="str">
        <x:v>○×</x:v>
      </x:c>
      <x:c r="F105" s="22" t="str">
        <x:v>国際登録に基づく商標権の移転は、相続その他の一般承継による移転であれば、登録しなくてもその効力を生じる。</x:v>
      </x:c>
      <x:c r="G105" s="22" t="str">
        <x:v>×</x:v>
      </x:c>
      <x:c r="H105" s="22" t="str">
        <x:v>国際登録に基づく商標権の移転は、登録しなければ、その効力を生じない（商６８条の２６第１項）。議定書においては、相続その他の一般承継の場合の移転と、譲渡などの特定承継との間に区別した取り扱いがされていないため（青本商６８条の２６）、国際登録に基づく商標権の移転は、相続その他の一般承継による移転であっても、登録が効力発生要件とされている。よって、本枝は誤り。</x:v>
      </x:c>
      <x:c r="I105" s="22" t="str">
        <x:v>商６８条の２６第１項、商６８条の２６</x:v>
      </x:c>
      <x:c r="J105" s="22" t="str"/>
      <x:c r="K105" s="22" t="str">
        <x:v>令和2年度短答（TAC過去問）／【商標】2 5／スライド173</x:v>
      </x:c>
      <x:c r="L105" s="22" t="n">
        <x:v>0</x:v>
      </x:c>
      <x:c r="M105" s="22" t="n">
        <x:v>0</x:v>
      </x:c>
      <x:c r="N105" s="23" t="str">
        <x:f>IF(SUM(L105:M105)=0,"",L105/SUM(L105:M105))</x:f>
      </x:c>
      <x:c r="O105" s="22" t="str">
        <x:f>IF(SUM(L105:M105)=0,"NEW",IF(N105&gt;=0.9,"A",IF(N105&gt;=0.75,"B",IF(N105&gt;=0.5,"C","D"))))</x:f>
        <x:v>NEW</x:v>
      </x:c>
      <x:c r="P105" s="22" t="n">
        <x:v>0</x:v>
      </x:c>
      <x:c r="Q105" s="24"/>
      <x:c r="R105" s="24"/>
      <x:c r="S105" s="22" t="str">
        <x:v>原問：商標法におけるマドリッド協定の議定書に基づく特例に関し、次のうち、正しいものは、どれか。</x:v>
      </x:c>
    </x:row>
    <x:row r="106">
      <x:c r="A106" s="22" t="str">
        <x:v>R02-T03-1</x:v>
      </x:c>
      <x:c r="B106" s="22" t="str">
        <x:v>商標</x:v>
      </x:c>
      <x:c r="C106" s="22" t="str">
        <x:v>商標法第２条に規定する商標又は標章の使用</x:v>
      </x:c>
      <x:c r="D106" s="22" t="str">
        <x:v>商標法第２条に規定する商標又は標章の使用／1</x:v>
      </x:c>
      <x:c r="E106" s="22" t="str">
        <x:v>○×</x:v>
      </x:c>
      <x:c r="F106" s="22" t="str">
        <x:v>テレビで放送されるコマーシャルにおいて、コマーシャルソングのリズムに合わせてキャラクターの図形が踊るものについては、コマーシャルソングである音及びキャラクターの図形の動きのいずれも人の知覚によって認識できるものであるから、音と動きが結合した一つの商標として、商標法上の商標に該当する。</x:v>
      </x:c>
      <x:c r="G106" s="22" t="str">
        <x:v>×</x:v>
      </x:c>
      <x:c r="H106" s="22" t="str">
        <x:v>商２条１項において、この法律で「商標」とは、人の知覚によって認識することができるもののうち、文字、図形、記号、立体的形状若しくは色彩又はこれらの結合、音その他政令で定めるものであって、商２条１項各号に掲げるものをいう、ことが規定されている。そのため、音については、文字等と異なり結合したものは規定されていないため、音と動きとが結合したものが規定されていない以上、本枝に記載された音と動きが結合したものは、商標法上の商標に該当しない。よって、本枝は誤り。</x:v>
      </x:c>
      <x:c r="I106" s="22" t="str">
        <x:v>商２条１項</x:v>
      </x:c>
      <x:c r="J106" s="22" t="str"/>
      <x:c r="K106" s="22" t="str">
        <x:v>令和2年度短答（TAC過去問）／【商標】3 1／スライド174</x:v>
      </x:c>
      <x:c r="L106" s="22" t="n">
        <x:v>0</x:v>
      </x:c>
      <x:c r="M106" s="22" t="n">
        <x:v>0</x:v>
      </x:c>
      <x:c r="N106" s="23" t="str">
        <x:f>IF(SUM(L106:M106)=0,"",L106/SUM(L106:M106))</x:f>
      </x:c>
      <x:c r="O106" s="22" t="str">
        <x:f>IF(SUM(L106:M106)=0,"NEW",IF(N106&gt;=0.9,"A",IF(N106&gt;=0.75,"B",IF(N106&gt;=0.5,"C","D"))))</x:f>
        <x:v>NEW</x:v>
      </x:c>
      <x:c r="P106" s="22" t="n">
        <x:v>0</x:v>
      </x:c>
      <x:c r="Q106" s="24"/>
      <x:c r="R106" s="24"/>
      <x:c r="S106" s="22" t="str">
        <x:v>原問：商標法第２条に規定する商標又は標章の使用に関し、次のうち、正しいものは、どれか。ただし、マドリッド協定の議定書に基づく特例は考慮しないものとする。</x:v>
      </x:c>
    </x:row>
    <x:row r="107">
      <x:c r="A107" s="22" t="str">
        <x:v>R02-T03-2</x:v>
      </x:c>
      <x:c r="B107" s="22" t="str">
        <x:v>商標</x:v>
      </x:c>
      <x:c r="C107" s="22" t="str">
        <x:v>商標法第２条に規定する商標又は標章の使用</x:v>
      </x:c>
      <x:c r="D107" s="22" t="str">
        <x:v>商標法第２条に規定する商標又は標章の使用／2</x:v>
      </x:c>
      <x:c r="E107" s="22" t="str">
        <x:v>○×</x:v>
      </x:c>
      <x:c r="F107" s="22" t="str">
        <x:v>立体的形状からなる標章については、これを商品自体の形状として当該商品を生産することは商品に標章を付する行為として商標法上の使用に該当し、これを広告用の店頭人形自体の形状として当該店頭人形を作成する行為は、広告に標章を付する行為となるため、商標法上の使用に該当する。</x:v>
      </x:c>
      <x:c r="G107" s="22" t="str">
        <x:v>×</x:v>
      </x:c>
      <x:c r="H107" s="22" t="str">
        <x:v>立体的形状からなる標章については、商品を標章の形状とすることが「商品に標章を付する行為（商２条３項１号）」に含まれるため（商２条４項１号）、標章を商品自体の形状として当該商品を生産する行為は商標法上の使用に該当する。したがって、本枝の前段は正しい。
一方、商品「その他の物」とは広告をいい、この広告には、広告塔、店頭人形などが含まれるため（青本「商２条④」参照）、広告用の店頭人形自体の形状として当該店頭人形を作成する行為は、広告に標章を付する行為には該当するが、この「広告に標章を付する行為」自体は使用に該当せず、「広告に標章を付して展示等する行為」でなければ商標法上の使用には該当しない【商２条③－８号】。従って、後半は誤り。よって、全体として、誤り。</x:v>
      </x:c>
      <x:c r="I107" s="22" t="str">
        <x:v>商２条３項１号、商２条４項１号、商２条④、商２条③－８号</x:v>
      </x:c>
      <x:c r="J107" s="22" t="str"/>
      <x:c r="K107" s="22" t="str">
        <x:v>令和2年度短答（TAC過去問）／【商標】3 2／スライド175</x:v>
      </x:c>
      <x:c r="L107" s="22" t="n">
        <x:v>0</x:v>
      </x:c>
      <x:c r="M107" s="22" t="n">
        <x:v>0</x:v>
      </x:c>
      <x:c r="N107" s="23" t="str">
        <x:f>IF(SUM(L107:M107)=0,"",L107/SUM(L107:M107))</x:f>
      </x:c>
      <x:c r="O107" s="22" t="str">
        <x:f>IF(SUM(L107:M107)=0,"NEW",IF(N107&gt;=0.9,"A",IF(N107&gt;=0.75,"B",IF(N107&gt;=0.5,"C","D"))))</x:f>
        <x:v>NEW</x:v>
      </x:c>
      <x:c r="P107" s="22" t="n">
        <x:v>0</x:v>
      </x:c>
      <x:c r="Q107" s="24"/>
      <x:c r="R107" s="24"/>
      <x:c r="S107" s="22" t="str">
        <x:v>原問：商標法第２条に規定する商標又は標章の使用に関し、次のうち、正しいものは、どれか。ただし、マドリッド協定の議定書に基づく特例は考慮しないものとする。</x:v>
      </x:c>
    </x:row>
    <x:row r="108">
      <x:c r="A108" s="22" t="str">
        <x:v>R02-T03-3</x:v>
      </x:c>
      <x:c r="B108" s="22" t="str">
        <x:v>商標</x:v>
      </x:c>
      <x:c r="C108" s="22" t="str">
        <x:v>商標法第２条に規定する商標又は標章の使用</x:v>
      </x:c>
      <x:c r="D108" s="22" t="str">
        <x:v>商標法第２条に規定する商標又は標章の使用／3</x:v>
      </x:c>
      <x:c r="E108" s="22" t="str">
        <x:v>○×</x:v>
      </x:c>
      <x:c r="F108" s="22" t="str">
        <x:v>ホテルが、新規にその営業を開始する前に、当該ホテルの標章を付した宿泊料金表を当該ホテルのウェブサイト上に表示して電磁的方法により提供しても、開業前であって現に宿泊施設の提供という役務を提供していないため、商標法上の使用には該当しない。</x:v>
      </x:c>
      <x:c r="G108" s="22" t="str">
        <x:v>×</x:v>
      </x:c>
      <x:c r="H108" s="22" t="str">
        <x:v>役務に関する広告、「価格表」若しくは取引書類に標章を付して頒布し、又は「これらを内容とする情報に標章を付して電磁的方法により提供する行為」は、標章についての使用に該当する【商２条③－８号】。商標の広告的使用は、商品が製造される前あるいは役務が提供をされる前にその商品又は役務に使用する予定の商標をあらかじめ新聞、雑誌などに広告するような場合は、その広告は既に商標の使用となる（青本「商２条③－８号」参照）。よって、本枝は誤り。</x:v>
      </x:c>
      <x:c r="I108" s="22" t="str">
        <x:v>商２条③－８号</x:v>
      </x:c>
      <x:c r="J108" s="22" t="str"/>
      <x:c r="K108" s="22" t="str">
        <x:v>令和2年度短答（TAC過去問）／【商標】3 3／スライド178</x:v>
      </x:c>
      <x:c r="L108" s="22" t="n">
        <x:v>0</x:v>
      </x:c>
      <x:c r="M108" s="22" t="n">
        <x:v>0</x:v>
      </x:c>
      <x:c r="N108" s="23" t="str">
        <x:f>IF(SUM(L108:M108)=0,"",L108/SUM(L108:M108))</x:f>
      </x:c>
      <x:c r="O108" s="22" t="str">
        <x:f>IF(SUM(L108:M108)=0,"NEW",IF(N108&gt;=0.9,"A",IF(N108&gt;=0.75,"B",IF(N108&gt;=0.5,"C","D"))))</x:f>
        <x:v>NEW</x:v>
      </x:c>
      <x:c r="P108" s="22" t="n">
        <x:v>0</x:v>
      </x:c>
      <x:c r="Q108" s="24"/>
      <x:c r="R108" s="24"/>
      <x:c r="S108" s="22" t="str">
        <x:v>原問：商標法第２条に規定する商標又は標章の使用に関し、次のうち、正しいものは、どれか。ただし、マドリッド協定の議定書に基づく特例は考慮しないものとする。</x:v>
      </x:c>
    </x:row>
    <x:row r="109">
      <x:c r="A109" s="22" t="str">
        <x:v>R02-T03-4</x:v>
      </x:c>
      <x:c r="B109" s="22" t="str">
        <x:v>商標</x:v>
      </x:c>
      <x:c r="C109" s="22" t="str">
        <x:v>商標法第２条に規定する商標又は標章の使用</x:v>
      </x:c>
      <x:c r="D109" s="22" t="str">
        <x:v>商標法第２条に規定する商標又は標章の使用／4</x:v>
      </x:c>
      <x:c r="E109" s="22" t="str">
        <x:v>○×</x:v>
      </x:c>
      <x:c r="F109" s="22" t="str">
        <x:v>業として受託により布地を防虫加工する者が当該防虫加工をしたことを示すために当該布地に付する標章は、役務について使用をする標章に該当し、業として布地を検査してその布地が羊毛を１００％使用しているという品質を証明する者が当該布地の品質を証明したことを示すために当該布地に付する標章は、商品について使用をする標章に該当する。</x:v>
      </x:c>
      <x:c r="G109" s="22" t="str">
        <x:v>○</x:v>
      </x:c>
      <x:c r="H109" s="22" t="str">
        <x:v>役務について使用をする標章とは、業として役務を提供等する者がその役務について使用をするものをいう（商２条１項２号）。ここで、「加工」については、その物品が商品として譲渡される場合も含め、役務に係る商標として扱うこととされている（青本２条）。したがって、業として、受託により布地を防虫加工する者が当該防虫加工をしたことを示すために当該布地に付する標章は、役務について使用をする標章に該当する。
一方、商標法上の商標には、標章であって、業として商品を「証明」する者がその商品について使用をするものが含まれる（商２条１項１号）が、ここで「証明」とは、主として商品の品質を保証するような場合をいう（青本商２条［字句の解釈］）。そのため、品質を証明する者が布地の品質を証明したことを示すために当該布地に付する標章は、商品について使用をする標章に該当する。よって、本枝は正しい。
（定義等）
第２条　この法律で「商標」とは、人の知覚によって認識することができるもののうち、文字、図形、記号、立体的形状若しくは色彩又はこれらの結合、音その他政令で定めるもの（以下「標章」という。）であって、次に掲げるものをいう。
一　業として商品を生産し、証明し、又は譲渡する者がその商品について使用をするもの</x:v>
      </x:c>
      <x:c r="I109" s="22" t="str">
        <x:v>商２条１項２号、商２条１項１号、商２条</x:v>
      </x:c>
      <x:c r="J109" s="22" t="str"/>
      <x:c r="K109" s="22" t="str">
        <x:v>令和2年度短答（TAC過去問）／【商標】3 4／スライド179-180</x:v>
      </x:c>
      <x:c r="L109" s="22" t="n">
        <x:v>0</x:v>
      </x:c>
      <x:c r="M109" s="22" t="n">
        <x:v>0</x:v>
      </x:c>
      <x:c r="N109" s="23" t="str">
        <x:f>IF(SUM(L109:M109)=0,"",L109/SUM(L109:M109))</x:f>
      </x:c>
      <x:c r="O109" s="22" t="str">
        <x:f>IF(SUM(L109:M109)=0,"NEW",IF(N109&gt;=0.9,"A",IF(N109&gt;=0.75,"B",IF(N109&gt;=0.5,"C","D"))))</x:f>
        <x:v>NEW</x:v>
      </x:c>
      <x:c r="P109" s="22" t="n">
        <x:v>0</x:v>
      </x:c>
      <x:c r="Q109" s="24"/>
      <x:c r="R109" s="24"/>
      <x:c r="S109" s="22" t="str">
        <x:v>原問：商標法第２条に規定する商標又は標章の使用に関し、次のうち、正しいものは、どれか。ただし、マドリッド協定の議定書に基づく特例は考慮しないものとする。</x:v>
      </x:c>
    </x:row>
    <x:row r="110">
      <x:c r="A110" s="22" t="str">
        <x:v>R02-T04-イ</x:v>
      </x:c>
      <x:c r="B110" s="22" t="str">
        <x:v>商標</x:v>
      </x:c>
      <x:c r="C110" s="22" t="str">
        <x:v>登録要件等</x:v>
      </x:c>
      <x:c r="D110" s="22" t="str">
        <x:v>登録要件等／（イ）</x:v>
      </x:c>
      <x:c r="E110" s="22" t="str">
        <x:v>○×</x:v>
      </x:c>
      <x:c r="F110" s="22" t="str">
        <x:v>特定非営利活動促進法（平成１０年法律第７号）に基づく特定非営利活動法人（いわゆるＮＰＯ法人）は、自己の業務に係る商品又は役務について使用する商標についてのみ団体商標の商標登録を受けることができる。
【共通条件】ただし、マドリッド協定の議定書に基づく特例は考慮しないものとする。</x:v>
      </x:c>
      <x:c r="G110" s="22" t="str">
        <x:v>×</x:v>
      </x:c>
      <x:c r="H110" s="22" t="str">
        <x:v>一般社団法人その他の社団（法人格を有しないもの及び会社を除く。）若しくは事業協同組合その他の特別の法律により設立された組合（法人格を有しないものを除く。）又はこれらに相当する外国の法人は、その構成員に使用をさせる商標について、団体商標の商標登録を受けることができる（商７条１項）。
ここで、「その他の社団（法人格を有しないもの及び会社を除く。）」には、特定非営利活動法人（いわゆるＮＰＯ法人）等が含まれる（商標審査基準７条）。
そして、特定非営利活動法人は、「自己又はその構成員」の業務に係る商品又は役務について使用をする商標について団体商標の商標登録を受けることができるところ（商７条２項で読み替えて適用する商３条１項）、本枝は、「自己の業務に係る商品又は役務について使用する商標についてのみ」団体商標の商標登録を受けることができる、としている。よって、本枝は誤り。</x:v>
      </x:c>
      <x:c r="I110" s="22" t="str">
        <x:v>商７条１項、商７条２項、商３条１項</x:v>
      </x:c>
      <x:c r="J110" s="22" t="str"/>
      <x:c r="K110" s="22" t="str">
        <x:v>令和2年度短答（TAC過去問）／【商標】4 （イ）／スライド181</x:v>
      </x:c>
      <x:c r="L110" s="22" t="n">
        <x:v>0</x:v>
      </x:c>
      <x:c r="M110" s="22" t="n">
        <x:v>0</x:v>
      </x:c>
      <x:c r="N110" s="23" t="str">
        <x:f>IF(SUM(L110:M110)=0,"",L110/SUM(L110:M110))</x:f>
      </x:c>
      <x:c r="O110" s="22" t="str">
        <x:f>IF(SUM(L110:M110)=0,"NEW",IF(N110&gt;=0.9,"A",IF(N110&gt;=0.75,"B",IF(N110&gt;=0.5,"C","D"))))</x:f>
        <x:v>NEW</x:v>
      </x:c>
      <x:c r="P110" s="22" t="n">
        <x:v>0</x:v>
      </x:c>
      <x:c r="Q110" s="24"/>
      <x:c r="R110" s="24"/>
      <x:c r="S110" s="22" t="str">
        <x:v>原問：登録要件等に関し、次の（イ）～（ホ）のうち、正しいものは、いくつあるか。
ただし、マドリッド協定の議定書に基づく特例は考慮しないものとする。</x:v>
      </x:c>
    </x:row>
    <x:row r="111">
      <x:c r="A111" s="22" t="str">
        <x:v>R02-T04-ロ</x:v>
      </x:c>
      <x:c r="B111" s="22" t="str">
        <x:v>商標</x:v>
      </x:c>
      <x:c r="C111" s="22" t="str">
        <x:v>登録要件等</x:v>
      </x:c>
      <x:c r="D111" s="22" t="str">
        <x:v>登録要件等／（ロ）</x:v>
      </x:c>
      <x:c r="E111" s="22" t="str">
        <x:v>○×</x:v>
      </x:c>
      <x:c r="F111" s="22" t="str">
        <x:v>甲が商標登録出願したところ、当該商標登録出願に係る商標が元号と認識されるにすぎず、需要者が何人かの業務に係る商品であることを認識することができない商標であるから商標法第３条第１項第６号に該当するとの理由で拒絶の理由が通知された。この場合、甲がその商標を使用した結果需要者が何人かの業務に係る商品であることを認識することができるものになっていたとしても、商標法第３条第２項の規定の適用を受けることができない。
【共通条件】ただし、マドリッド協定の議定書に基づく特例は考慮しないものとする。</x:v>
      </x:c>
      <x:c r="G111" s="22" t="str">
        <x:v>○</x:v>
      </x:c>
      <x:c r="H111" s="22" t="str">
        <x:v>商標が、元号として認識されるにすぎない場合は、商３条１項６号（需要者が何人かの業務に係る商品又は役務であることを認識することができない商標）に該当すると判断される（商標審査基準３条第１項第６号）。
ここで、使用をされた結果、需要者が何人かの業務に係る商品又は役務であることを認識することができるものとして、同条２項の規定の適用を受けることができるのは、同条１項「３号から５号」に該当する商標である。６号該当商標が使用の結果、需要者に出所表示として認識されるようになれば、「認識することができない商標」ではなくなり、そもそも査定時に６号該当しないからである。
従って、同６号に該当するとの理由で拒絶の理由が通知された場合、その商標を使用した結果需要者が何人かの業務に係る商品又は役務であることを認識することができるものになっていたとしても、商３条２項の規定の適用を受けることができない。
本枝においては、甲がその商標を使用した結果需要者が何人かの業務に係る商品であることを認識することができるものになっていたとしても、商３条２項の規定の適用を受けることができない。よって、本枝は正しい。
なお、第３条第１項第１号又は第２号が除かれているのは、使用による特別顕著性が生じているものは、もはや「普通名称」や「慣用商標」とは呼べないためである。
また、審査基準には、「需要者が何人かの業務に係る商品又は役務であることを認識することができない商標」に該当するものとして、地模様、キャッチフレーズ、元号を挙げている（商標審査基準「３条１項６号」参照）。</x:v>
      </x:c>
      <x:c r="I111" s="22" t="str">
        <x:v>商３条１項６号、商３条２項</x:v>
      </x:c>
      <x:c r="J111" s="22" t="str"/>
      <x:c r="K111" s="22" t="str">
        <x:v>令和2年度短答（TAC過去問）／【商標】4 （ロ）／スライド182-183</x:v>
      </x:c>
      <x:c r="L111" s="22" t="n">
        <x:v>0</x:v>
      </x:c>
      <x:c r="M111" s="22" t="n">
        <x:v>0</x:v>
      </x:c>
      <x:c r="N111" s="23" t="str">
        <x:f>IF(SUM(L111:M111)=0,"",L111/SUM(L111:M111))</x:f>
      </x:c>
      <x:c r="O111" s="22" t="str">
        <x:f>IF(SUM(L111:M111)=0,"NEW",IF(N111&gt;=0.9,"A",IF(N111&gt;=0.75,"B",IF(N111&gt;=0.5,"C","D"))))</x:f>
        <x:v>NEW</x:v>
      </x:c>
      <x:c r="P111" s="22" t="n">
        <x:v>0</x:v>
      </x:c>
      <x:c r="Q111" s="24"/>
      <x:c r="R111" s="24"/>
      <x:c r="S111" s="22" t="str">
        <x:v>原問：登録要件等に関し、次の（イ）～（ホ）のうち、正しいものは、いくつあるか。
ただし、マドリッド協定の議定書に基づく特例は考慮しないものとする。</x:v>
      </x:c>
    </x:row>
    <x:row r="112">
      <x:c r="A112" s="22" t="str">
        <x:v>R02-T04-ハ</x:v>
      </x:c>
      <x:c r="B112" s="22" t="str">
        <x:v>商標</x:v>
      </x:c>
      <x:c r="C112" s="22" t="str">
        <x:v>登録要件等</x:v>
      </x:c>
      <x:c r="D112" s="22" t="str">
        <x:v>登録要件等／（ハ）</x:v>
      </x:c>
      <x:c r="E112" s="22" t="str">
        <x:v>○×</x:v>
      </x:c>
      <x:c r="F112" s="22" t="str">
        <x:v>地域団体商標を構成する「地域の名称」には、出願人である団体又はその構成員が、地域団体商標の商標登録出願前から当該商標登録出願に係る商標を使用していた役務の提供場所及び役務の提供場所と密接な関連性を有する地域の名称が含まれる。例えば、指定役務「温泉浴場施設の提供」については、役務の提供場所は温泉が存在する地域となるためその名称が「地域の名称」に該当する。
【共通条件】ただし、マドリッド協定の議定書に基づく特例は考慮しないものとする。</x:v>
      </x:c>
      <x:c r="G112" s="22" t="str">
        <x:v>○</x:v>
      </x:c>
      <x:c r="H112" s="22" t="str">
        <x:v>地域団体商標を構成する「地域の名称」には、自己若しくはその構成員が商標登録出願前から当該出願に係る商標の使用をしている役務の提供の場所その他これらに準ずる程度に当該役務と密接な関連性を有すると認められる地域の名称又はその略称が含まれる（商７条の２第２項）。
例えば、指定役務「温泉浴場施設の提供」については、温泉が存在する地域が、「役務の提供の場所」にあたり（商標審査基準商７条の２）、「地域の名称」に該当する。よって、本枝は正しい。</x:v>
      </x:c>
      <x:c r="I112" s="22" t="str">
        <x:v>商７条の２第２項、商７条の２</x:v>
      </x:c>
      <x:c r="J112" s="22" t="str"/>
      <x:c r="K112" s="22" t="str">
        <x:v>令和2年度短答（TAC過去問）／【商標】4 （ハ）／スライド185</x:v>
      </x:c>
      <x:c r="L112" s="22" t="n">
        <x:v>0</x:v>
      </x:c>
      <x:c r="M112" s="22" t="n">
        <x:v>0</x:v>
      </x:c>
      <x:c r="N112" s="23" t="str">
        <x:f>IF(SUM(L112:M112)=0,"",L112/SUM(L112:M112))</x:f>
      </x:c>
      <x:c r="O112" s="22" t="str">
        <x:f>IF(SUM(L112:M112)=0,"NEW",IF(N112&gt;=0.9,"A",IF(N112&gt;=0.75,"B",IF(N112&gt;=0.5,"C","D"))))</x:f>
        <x:v>NEW</x:v>
      </x:c>
      <x:c r="P112" s="22" t="n">
        <x:v>0</x:v>
      </x:c>
      <x:c r="Q112" s="24"/>
      <x:c r="R112" s="24"/>
      <x:c r="S112" s="22" t="str">
        <x:v>原問：登録要件等に関し、次の（イ）～（ホ）のうち、正しいものは、いくつあるか。
ただし、マドリッド協定の議定書に基づく特例は考慮しないものとする。</x:v>
      </x:c>
    </x:row>
    <x:row r="113">
      <x:c r="A113" s="22" t="str">
        <x:v>R02-T05-1</x:v>
      </x:c>
      <x:c r="B113" s="22" t="str">
        <x:v>商標</x:v>
      </x:c>
      <x:c r="C113" s="22" t="str">
        <x:v>商標権に係る使用権</x:v>
      </x:c>
      <x:c r="D113" s="22" t="str">
        <x:v>商標権に係る使用権／1</x:v>
      </x:c>
      <x:c r="E113" s="22" t="str">
        <x:v>○×</x:v>
      </x:c>
      <x:c r="F113" s="22" t="str">
        <x:v>国若しくは地方公共団体若しくはこれらの機関又は公益に関する団体であって営利を目的としないものの商標登録出願であって、商標法第４条第２項に規定するものに係る商標権は、譲渡することができず、他人に通常使用権を許諾することもできない。
【共通条件】ただし、マドリッド協定の議定書に基づく特例は考慮しないものとする。</x:v>
      </x:c>
      <x:c r="G113" s="22" t="str">
        <x:v>×</x:v>
      </x:c>
      <x:c r="H113" s="22" t="str">
        <x:v>国若しくは地方公共団体若しくはこれらの機関又は公益に関する団体であって営利を目的としないものの商標登録出願であって、商４条２項に規定するものに係る商標権は、譲渡することができない（商２４条の２第２項）。よって、前半は正しい。
一方、令和元年法改正により、「商４条２項に規定する商標登録出願に係る商標権については、他人に通常使用権を許諾することができない」としていた商３１条１項ただし書の規定が削除されたため、商４条２項に規定するものに係る商標権についても他人に通常使用権を許諾することができることとなった（商３１条１項）。よって、本枝は誤り。</x:v>
      </x:c>
      <x:c r="I113" s="22" t="str">
        <x:v>商４条２項、商２４条の２第２項、商３１条１項</x:v>
      </x:c>
      <x:c r="J113" s="22" t="str"/>
      <x:c r="K113" s="22" t="str">
        <x:v>令和2年度短答（TAC過去問）／【商標】5 1／スライド186</x:v>
      </x:c>
      <x:c r="L113" s="22" t="n">
        <x:v>0</x:v>
      </x:c>
      <x:c r="M113" s="22" t="n">
        <x:v>0</x:v>
      </x:c>
      <x:c r="N113" s="23" t="str">
        <x:f>IF(SUM(L113:M113)=0,"",L113/SUM(L113:M113))</x:f>
      </x:c>
      <x:c r="O113" s="22" t="str">
        <x:f>IF(SUM(L113:M113)=0,"NEW",IF(N113&gt;=0.9,"A",IF(N113&gt;=0.75,"B",IF(N113&gt;=0.5,"C","D"))))</x:f>
        <x:v>NEW</x:v>
      </x:c>
      <x:c r="P113" s="22" t="n">
        <x:v>0</x:v>
      </x:c>
      <x:c r="Q113" s="24"/>
      <x:c r="R113" s="24"/>
      <x:c r="S113" s="22" t="str">
        <x:v>原問：商標権に係る使用権に関し、次のうち、正しいものは、どれか。
ただし、マドリッド協定の議定書に基づく特例は考慮しないものとする。</x:v>
      </x:c>
    </x:row>
    <x:row r="114">
      <x:c r="A114" s="22" t="str">
        <x:v>R02-T05-4</x:v>
      </x:c>
      <x:c r="B114" s="22" t="str">
        <x:v>商標</x:v>
      </x:c>
      <x:c r="C114" s="22" t="str">
        <x:v>商標権に係る使用権</x:v>
      </x:c>
      <x:c r="D114" s="22" t="str">
        <x:v>商標権に係る使用権／4</x:v>
      </x:c>
      <x:c r="E114" s="22" t="str">
        <x:v>○×</x:v>
      </x:c>
      <x:c r="F114" s="22" t="str">
        <x:v>通常使用権者は、設定行為で定めた範囲内において、指定商品又は指定役務について登録商標の使用をする権利を有するが、ここにいう登録商標には、その登録商標に類似する商標であって、色彩を登録商標と同一にするものとすれば登録商標と同一の商標であると認められる商標（いわゆる色違いの商標）も含まれるので、色彩のみからなる登録商標に係る商標権の通常使用権者は、当該通常使用権に基づき当該登録商標の色違いの商標を使用することができる。
【共通条件】ただし、マドリッド協定の議定書に基づく特例は考慮しないものとする。</x:v>
      </x:c>
      <x:c r="G114" s="22" t="str">
        <x:v>×</x:v>
      </x:c>
      <x:c r="H114" s="22" t="str">
        <x:v>通常使用権者は、設定行為で定めた範囲内において、指定商品又は指定役務について登録商標の使用をする権利を有する（商３１条２項）。そして、商３１条２項における「登録商標」には、その登録商標に類似する商標であって、色彩を登録商標と同一にするものとすれば登録商標と同一の商標であると認められるものが含まれる（商７０条１項）。
しかし、色彩のみからなる登録商標については、商７０条１項の規定は適用されない（商７０条４項）。通常の文字・図形等の商標では、色彩は付随的要素となり得るため、所定の色違い商標を登録商標に含める合理性がある。これに対し、色彩のみからなる商標では、色彩そのものが商標の本体であり、色違いまで登録商標に含めると権利範囲が過度に拡大するため、７０条４項により色違いの特則が排除される（青本商７０条４項参照）。
したがって、色彩のみからなる登録商標に係る商標権の通常使用権者は、当該通常使用権に基づき当該登録商標の色違いの商標を使用することができない。よって、本枝は誤り。</x:v>
      </x:c>
      <x:c r="I114" s="22" t="str">
        <x:v>商３１条２項、商７０条１項、商７０条４項</x:v>
      </x:c>
      <x:c r="J114" s="22" t="str"/>
      <x:c r="K114" s="22" t="str">
        <x:v>令和2年度短答（TAC過去問）／【商標】5 4／スライド188-189</x:v>
      </x:c>
      <x:c r="L114" s="22" t="n">
        <x:v>0</x:v>
      </x:c>
      <x:c r="M114" s="22" t="n">
        <x:v>0</x:v>
      </x:c>
      <x:c r="N114" s="23" t="str">
        <x:f>IF(SUM(L114:M114)=0,"",L114/SUM(L114:M114))</x:f>
      </x:c>
      <x:c r="O114" s="22" t="str">
        <x:f>IF(SUM(L114:M114)=0,"NEW",IF(N114&gt;=0.9,"A",IF(N114&gt;=0.75,"B",IF(N114&gt;=0.5,"C","D"))))</x:f>
        <x:v>NEW</x:v>
      </x:c>
      <x:c r="P114" s="22" t="n">
        <x:v>0</x:v>
      </x:c>
      <x:c r="Q114" s="24"/>
      <x:c r="R114" s="24"/>
      <x:c r="S114" s="22" t="str">
        <x:v>原問：商標権に係る使用権に関し、次のうち、正しいものは、どれか。
ただし、マドリッド協定の議定書に基づく特例は考慮しないものとする。</x:v>
      </x:c>
    </x:row>
    <x:row r="115">
      <x:c r="A115" s="22" t="str">
        <x:v>R02-T05-5</x:v>
      </x:c>
      <x:c r="B115" s="22" t="str">
        <x:v>商標</x:v>
      </x:c>
      <x:c r="C115" s="22" t="str">
        <x:v>商標権に係る使用権</x:v>
      </x:c>
      <x:c r="D115" s="22" t="str">
        <x:v>商標権に係る使用権／5</x:v>
      </x:c>
      <x:c r="E115" s="22" t="str">
        <x:v>○×</x:v>
      </x:c>
      <x:c r="F115" s="22" t="str">
        <x:v>通常使用権は、①商標権者（専用使用権についての通常使用権にあっては、商標権者及び専用使用権者）の承諾を得た場合、②相続その他の一般承継の場合、又は③当該通常使用権者の事業とともにする場合のいずれかに限り、移転することができる。
【共通条件】ただし、マドリッド協定の議定書に基づく特例は考慮しないものとする。</x:v>
      </x:c>
      <x:c r="G115" s="22" t="str">
        <x:v>×</x:v>
      </x:c>
      <x:c r="H115" s="22" t="str">
        <x:v>通常使用権は、①商標権者（専用使用権についての通常使用権にあっては、商標権者及び専用使用権者）の承諾を得た場合及び②相続その他の一般承継の場合に限り、移転することができる（商３１条３項）。
この点、特許法と異なり「実施の事業とともにする場合」が規定されていないことに注意。なぜなら、特許権と異なり、事業の移転に伴って専用使用権を移転できなかったとしても、別の商標を使用すれば良いため、既存設備が荒廃するとは言えないからである。
これに対し、本枝は、③当該通常使用権者の事業とともにする場合であっても、通常使用権を移転することができる、としている。よって、本枝は誤り。</x:v>
      </x:c>
      <x:c r="I115" s="22" t="str">
        <x:v>商３１条３項</x:v>
      </x:c>
      <x:c r="J115" s="22" t="str"/>
      <x:c r="K115" s="22" t="str">
        <x:v>令和2年度短答（TAC過去問）／【商標】5 5／スライド190</x:v>
      </x:c>
      <x:c r="L115" s="22" t="n">
        <x:v>0</x:v>
      </x:c>
      <x:c r="M115" s="22" t="n">
        <x:v>0</x:v>
      </x:c>
      <x:c r="N115" s="23" t="str">
        <x:f>IF(SUM(L115:M115)=0,"",L115/SUM(L115:M115))</x:f>
      </x:c>
      <x:c r="O115" s="22" t="str">
        <x:f>IF(SUM(L115:M115)=0,"NEW",IF(N115&gt;=0.9,"A",IF(N115&gt;=0.75,"B",IF(N115&gt;=0.5,"C","D"))))</x:f>
        <x:v>NEW</x:v>
      </x:c>
      <x:c r="P115" s="22" t="n">
        <x:v>0</x:v>
      </x:c>
      <x:c r="Q115" s="24"/>
      <x:c r="R115" s="24"/>
      <x:c r="S115" s="22" t="str">
        <x:v>原問：商標権に係る使用権に関し、次のうち、正しいものは、どれか。
ただし、マドリッド協定の議定書に基づく特例は考慮しないものとする。</x:v>
      </x:c>
    </x:row>
    <x:row r="116">
      <x:c r="A116" s="22" t="str">
        <x:v>R02-T06-1</x:v>
      </x:c>
      <x:c r="B116" s="22" t="str">
        <x:v>商標</x:v>
      </x:c>
      <x:c r="C116" s="22" t="str">
        <x:v>商標権の効力等</x:v>
      </x:c>
      <x:c r="D116" s="22" t="str">
        <x:v>商標権の効力等／1</x:v>
      </x:c>
      <x:c r="E116" s="22" t="str">
        <x:v>○×</x:v>
      </x:c>
      <x:c r="F116" s="22" t="str">
        <x:v>商標権の効力は、自己の氏名を普通に用いられる方法で表示する商標（他の商標の一部となっているものを含む。）に対して及ぶ場合はない。
【共通条件】ただし、マドリッド協定の議定書に基づく特例は考慮しないものとする。</x:v>
      </x:c>
      <x:c r="G116" s="22" t="str">
        <x:v>×</x:v>
      </x:c>
      <x:c r="H116" s="22" t="str">
        <x:v>商標権の効力は、自己の氏名を普通に用いられる方法で表示する商標（他の商標の一部となっているものを含む。）には、及ばない（商２６条１項）。しかし、自己の氏名を普通に用いられる方法で表示する商標（他の商標の一部となっているものを含む。）であっても、商標権の設定の登録があった後、不正競争の目的で用いた場合には、商標権の効力が及ぶ（商２６条２項）。よって、本枝は誤り。</x:v>
      </x:c>
      <x:c r="I116" s="22" t="str">
        <x:v>商２６条１項、商２６条２項</x:v>
      </x:c>
      <x:c r="J116" s="22" t="str"/>
      <x:c r="K116" s="22" t="str">
        <x:v>令和2年度短答（TAC過去問）／【商標】6 1／スライド191</x:v>
      </x:c>
      <x:c r="L116" s="22" t="n">
        <x:v>0</x:v>
      </x:c>
      <x:c r="M116" s="22" t="n">
        <x:v>0</x:v>
      </x:c>
      <x:c r="N116" s="23" t="str">
        <x:f>IF(SUM(L116:M116)=0,"",L116/SUM(L116:M116))</x:f>
      </x:c>
      <x:c r="O116" s="22" t="str">
        <x:f>IF(SUM(L116:M116)=0,"NEW",IF(N116&gt;=0.9,"A",IF(N116&gt;=0.75,"B",IF(N116&gt;=0.5,"C","D"))))</x:f>
        <x:v>NEW</x:v>
      </x:c>
      <x:c r="P116" s="22" t="n">
        <x:v>0</x:v>
      </x:c>
      <x:c r="Q116" s="24"/>
      <x:c r="R116" s="24"/>
      <x:c r="S116" s="22" t="str">
        <x:v>原問：商標権の効力等に関し、次のうち、正しいものは、どれか。
ただし、マドリッド協定の議定書に基づく特例は考慮しないものとする。</x:v>
      </x:c>
    </x:row>
    <x:row r="117">
      <x:c r="A117" s="22" t="str">
        <x:v>R02-T06-3</x:v>
      </x:c>
      <x:c r="B117" s="22" t="str">
        <x:v>商標</x:v>
      </x:c>
      <x:c r="C117" s="22" t="str">
        <x:v>商標権の効力等</x:v>
      </x:c>
      <x:c r="D117" s="22" t="str">
        <x:v>商標権の効力等／3</x:v>
      </x:c>
      <x:c r="E117" s="22" t="str">
        <x:v>○×</x:v>
      </x:c>
      <x:c r="F117" s="22" t="str">
        <x:v>他人の商標登録出願前から日本国内においてその商標登録出願に係る指定商品若しくは指定役務又はこれらに類似する商品若しくは役務についてその商標又はこれに類似する商標の使用をしていた結果、その商標登録出願の際現にその商標が自己の業務に係る商品又は役務を表示するものとして需要者の間に広く認識されており、その者が、継続してその商品又は役務についてその商標の使用をしていても、その商品又は役務についてその商標の使用をする権利を有さない場合がある。
【共通条件】ただし、マドリッド協定の議定書に基づく特例は考慮しないものとする。</x:v>
      </x:c>
      <x:c r="G117" s="22" t="str">
        <x:v>○</x:v>
      </x:c>
      <x:c r="H117" s="22" t="str">
        <x:v>他人の商標登録出願前から日本国内において「不正競争の目的でなく」その商標登録出願に係る指定商品若しくは指定役務又はこれらに類似する商品若しくは役務についてその商標又はこれに類似する商標の使用をしていた結果、その商標登録出願の際現にその商標が自己の業務に係る商品又は役務を表示する）ものとして需要者の間に広く認識されているときは、その者は、継続してその商品又は役務についてその商標の使用をする場合は、その商品又は役務についてその商標の使用をする権利を有する（商３２条１項）。
本条に１規定する「先使用による商標の使用をする権利」が認められるためには、「不正競争の目的でなく～商標の使用をしていた結果」が要件（正当使用の保護を奪う要件）とされているところ、本枝では、本要件を満たしているかどうかが明らかではないため、「先使用による商標の使用をする権利」が認められない場合がある。よって、本枝は正しい。</x:v>
      </x:c>
      <x:c r="I117" s="22" t="str">
        <x:v>商３２条１項</x:v>
      </x:c>
      <x:c r="J117" s="22" t="str"/>
      <x:c r="K117" s="22" t="str">
        <x:v>令和2年度短答（TAC過去問）／【商標】6 3／スライド194-195</x:v>
      </x:c>
      <x:c r="L117" s="22" t="n">
        <x:v>0</x:v>
      </x:c>
      <x:c r="M117" s="22" t="n">
        <x:v>0</x:v>
      </x:c>
      <x:c r="N117" s="23" t="str">
        <x:f>IF(SUM(L117:M117)=0,"",L117/SUM(L117:M117))</x:f>
      </x:c>
      <x:c r="O117" s="22" t="str">
        <x:f>IF(SUM(L117:M117)=0,"NEW",IF(N117&gt;=0.9,"A",IF(N117&gt;=0.75,"B",IF(N117&gt;=0.5,"C","D"))))</x:f>
        <x:v>NEW</x:v>
      </x:c>
      <x:c r="P117" s="22" t="n">
        <x:v>0</x:v>
      </x:c>
      <x:c r="Q117" s="24"/>
      <x:c r="R117" s="24"/>
      <x:c r="S117" s="22" t="str">
        <x:v>原問：商標権の効力等に関し、次のうち、正しいものは、どれか。
ただし、マドリッド協定の議定書に基づく特例は考慮しないものとする。</x:v>
      </x:c>
    </x:row>
    <x:row r="118">
      <x:c r="A118" s="22" t="str">
        <x:v>R02-T06-4</x:v>
      </x:c>
      <x:c r="B118" s="22" t="str">
        <x:v>商標</x:v>
      </x:c>
      <x:c r="C118" s="22" t="str">
        <x:v>商標権の効力等</x:v>
      </x:c>
      <x:c r="D118" s="22" t="str">
        <x:v>商標権の効力等／4</x:v>
      </x:c>
      <x:c r="E118" s="22" t="str">
        <x:v>○×</x:v>
      </x:c>
      <x:c r="F118" s="22" t="str">
        <x:v>新商品のコマーシャルに使用するための楽曲を作曲家に作曲してもらった者が、当該楽曲を複製した音からなる商標について、当該新商品を指定商品とする商標登録出願をしてその商標登録を受けたときは、当該商標登録に係る商標の使用が制限される場合はない。
【共通条件】ただし、マドリッド協定の議定書に基づく特例は考慮しないものとする。</x:v>
      </x:c>
      <x:c r="G118" s="22" t="str">
        <x:v>×</x:v>
      </x:c>
      <x:c r="H118" s="22" t="str">
        <x:v>商標権者、専用使用権者又は通常使用権者は、指定商品又は指定役務についての登録商標の使用がその使用の態様によりその商標登録出願の日前に生じた他人の著作権と抵触するときは、指定商品又は指定役務のうち抵触する部分についてその態様により登録商標の使用をすることができない（商２９条）。したがって、作曲家の許諾なくその楽曲を複製した場合には、当該楽曲を複製した音からなる商標に係る商標権と当該作曲家の著作権（複製権）とが抵触すると考えられるため、当該商標登録に係る商標の使用が制限される場合がある。よつて、本枝は誤り。</x:v>
      </x:c>
      <x:c r="I118" s="22" t="str">
        <x:v>商２９条</x:v>
      </x:c>
      <x:c r="J118" s="22" t="str"/>
      <x:c r="K118" s="22" t="str">
        <x:v>令和2年度短答（TAC過去問）／【商標】6 4／スライド196</x:v>
      </x:c>
      <x:c r="L118" s="22" t="n">
        <x:v>0</x:v>
      </x:c>
      <x:c r="M118" s="22" t="n">
        <x:v>0</x:v>
      </x:c>
      <x:c r="N118" s="23" t="str">
        <x:f>IF(SUM(L118:M118)=0,"",L118/SUM(L118:M118))</x:f>
      </x:c>
      <x:c r="O118" s="22" t="str">
        <x:f>IF(SUM(L118:M118)=0,"NEW",IF(N118&gt;=0.9,"A",IF(N118&gt;=0.75,"B",IF(N118&gt;=0.5,"C","D"))))</x:f>
        <x:v>NEW</x:v>
      </x:c>
      <x:c r="P118" s="22" t="n">
        <x:v>0</x:v>
      </x:c>
      <x:c r="Q118" s="24"/>
      <x:c r="R118" s="24"/>
      <x:c r="S118" s="22" t="str">
        <x:v>原問：商標権の効力等に関し、次のうち、正しいものは、どれか。
ただし、マドリッド協定の議定書に基づく特例は考慮しないものとする。</x:v>
      </x:c>
    </x:row>
    <x:row r="119">
      <x:c r="A119" s="22" t="str">
        <x:v>R02-T06-5</x:v>
      </x:c>
      <x:c r="B119" s="22" t="str">
        <x:v>商標</x:v>
      </x:c>
      <x:c r="C119" s="22" t="str">
        <x:v>商標権の効力等</x:v>
      </x:c>
      <x:c r="D119" s="22" t="str">
        <x:v>商標権の効力等／5</x:v>
      </x:c>
      <x:c r="E119" s="22" t="str">
        <x:v>○×</x:v>
      </x:c>
      <x:c r="F119" s="22" t="str">
        <x:v>登録商標の範囲は、願書に記載した商標に基づいて定めなければならず、その範囲の特定に際して、願書に添付した物件が考慮されることはない。
【共通条件】ただし、マドリッド協定の議定書に基づく特例は考慮しないものとする。</x:v>
      </x:c>
      <x:c r="G119" s="22" t="str">
        <x:v>×</x:v>
      </x:c>
      <x:c r="H119" s="22" t="str">
        <x:v>登録商標の範囲は、願書に記載した商標に基づいて定めなければならない（商２７条１項）。商２７条１項の場合においては、商５条４項の記載及び物件を考慮して、願書に記載した商標の記載の意義を解釈するものとする（商２７条３項）。
商２７条３項は、平成２６年の一部改正により商標法の保護対象を拡充したことに伴い、規定を追加したものである。
新たに保護対象となった色彩のみからなる商標等については、商標登録を受けようとする商標の記載のみによってはその内容を明確に特定することができないことから経済産業省令で定めるところにより、願書に商標の詳細な説明を記載し、又は経済産業省令で定める物件を添付しなければならないとしている（５条４項）。
本項は、１項の規定に基づく登録商標の権利範囲の特定に際しては、願書に記載した商標の記載の意義を解釈するためにこれらを考慮することとし、安定的に登録商標の権利範囲の特定ができるようにしたものである。
したがって、登録商標の範囲の特定に際して、願書に添付した物件が考慮されることがある。よって、本枝は誤り。</x:v>
      </x:c>
      <x:c r="I119" s="22" t="str">
        <x:v>商２７条１項、商５条４項、商２７条３項</x:v>
      </x:c>
      <x:c r="J119" s="22" t="str"/>
      <x:c r="K119" s="22" t="str">
        <x:v>令和2年度短答（TAC過去問）／【商標】6 5／スライド197-198</x:v>
      </x:c>
      <x:c r="L119" s="22" t="n">
        <x:v>0</x:v>
      </x:c>
      <x:c r="M119" s="22" t="n">
        <x:v>0</x:v>
      </x:c>
      <x:c r="N119" s="23" t="str">
        <x:f>IF(SUM(L119:M119)=0,"",L119/SUM(L119:M119))</x:f>
      </x:c>
      <x:c r="O119" s="22" t="str">
        <x:f>IF(SUM(L119:M119)=0,"NEW",IF(N119&gt;=0.9,"A",IF(N119&gt;=0.75,"B",IF(N119&gt;=0.5,"C","D"))))</x:f>
        <x:v>NEW</x:v>
      </x:c>
      <x:c r="P119" s="22" t="n">
        <x:v>0</x:v>
      </x:c>
      <x:c r="Q119" s="24"/>
      <x:c r="R119" s="24"/>
      <x:c r="S119" s="22" t="str">
        <x:v>原問：商標権の効力等に関し、次のうち、正しいものは、どれか。
ただし、マドリッド協定の議定書に基づく特例は考慮しないものとする。</x:v>
      </x:c>
    </x:row>
    <x:row r="120">
      <x:c r="A120" s="22" t="str">
        <x:v>R02-T07-イ</x:v>
      </x:c>
      <x:c r="B120" s="22" t="str">
        <x:v>商標</x:v>
      </x:c>
      <x:c r="C120" s="22" t="str">
        <x:v>商標権等の分割及び存続期間の更新等</x:v>
      </x:c>
      <x:c r="D120" s="22" t="str">
        <x:v>商標権等の分割及び存続期間の更新等／（イ）</x:v>
      </x:c>
      <x:c r="E120" s="22" t="str">
        <x:v>○×</x:v>
      </x:c>
      <x:c r="F120" s="22" t="str">
        <x:v>商標権の分割、信託による変更、放棄による消滅又は処分の制限は、登録しなければその効力を生じない。
【共通条件】ただし、マドリッド協定の議定書に基づく特例は考慮しないものとする。</x:v>
      </x:c>
      <x:c r="G120" s="22" t="str">
        <x:v>○</x:v>
      </x:c>
      <x:c r="H120" s="22" t="str">
        <x:v>商標権の「分割」、移転（相続その他の一般承継によるものを除く。）、「信託による変更」、「放棄による消減」又は「処分の制限」は、登録しなければ、その効力を生じない（商３５条で読み替えて準用する特９８条１項１号）。本枝は、条文に則した内容である。よって、本枝は正しい。</x:v>
      </x:c>
      <x:c r="I120" s="22" t="str">
        <x:v>商３５条、特９８条１項１号</x:v>
      </x:c>
      <x:c r="J120" s="22" t="str"/>
      <x:c r="K120" s="22" t="str">
        <x:v>令和2年度短答（TAC過去問）／【商標】7 （イ）／スライド199</x:v>
      </x:c>
      <x:c r="L120" s="22" t="n">
        <x:v>0</x:v>
      </x:c>
      <x:c r="M120" s="22" t="n">
        <x:v>0</x:v>
      </x:c>
      <x:c r="N120" s="23" t="str">
        <x:f>IF(SUM(L120:M120)=0,"",L120/SUM(L120:M120))</x:f>
      </x:c>
      <x:c r="O120" s="22" t="str">
        <x:f>IF(SUM(L120:M120)=0,"NEW",IF(N120&gt;=0.9,"A",IF(N120&gt;=0.75,"B",IF(N120&gt;=0.5,"C","D"))))</x:f>
        <x:v>NEW</x:v>
      </x:c>
      <x:c r="P120" s="22" t="n">
        <x:v>0</x:v>
      </x:c>
      <x:c r="Q120" s="24"/>
      <x:c r="R120" s="24"/>
      <x:c r="S120" s="22" t="str">
        <x:v>原問：商標権等の分割及び存続期間の更新等に関し、次の（イ）～（ホ）のうち、誤っているものは、いくつあるか。　
ただし、マドリッド協定の議定書に基づく特例は考慮しないものとする。</x:v>
      </x:c>
    </x:row>
    <x:row r="121">
      <x:c r="A121" s="22" t="str">
        <x:v>R02-T07-ロ</x:v>
      </x:c>
      <x:c r="B121" s="22" t="str">
        <x:v>商標</x:v>
      </x:c>
      <x:c r="C121" s="22" t="str">
        <x:v>商標権等の分割及び存続期間の更新等</x:v>
      </x:c>
      <x:c r="D121" s="22" t="str">
        <x:v>商標権等の分割及び存続期間の更新等／（ロ）</x:v>
      </x:c>
      <x:c r="E121" s="22" t="str">
        <x:v>○×</x:v>
      </x:c>
      <x:c r="F121" s="22" t="str">
        <x:v>防護標章登録に基づく権利の存続期間の更新登録の出願がなされても、当該存続期間は、その満了の時に更新されたものとみなされない場合がある。
【共通条件】ただし、マドリッド協定の議定書に基づく特例は考慮しないものとする。</x:v>
      </x:c>
      <x:c r="G121" s="22" t="str">
        <x:v>○</x:v>
      </x:c>
      <x:c r="H121" s="22" t="str">
        <x:v>防護標章登録に基づく権利の存続期間の更新登録の出願があったときは、存続期間は、その満了の時に更新されたものとみなされる（商６５条の３第４項本文）。
しかし、防護標章登録に基づく権利の存続期間の更新登録の出願が、当該防護標章登録に基づく権利の存続期間の満了前６月から満了の日までの間にされなかった場合であって、期間の徒過が故意によるものであった場合を除き、経済産業省令で定める期間内に限り、経済産業省令で定めるところにより、その出願があったときは（商６５条の３第３項）、当該存続期間は、「その出願の時」に更新されたものとみなされる（商６５条の３第４項かっこ書）。
これは、防護標章の更新には、著名性や混同のおそれがなお存在するかについて実体審査があるため、期間徒過後の救済出願では、満了時まで遡及させず「出願時」に更新されたものとみなすのである。これにより満了時から出願時までを権利の空白として残し、第三者の予測可能性を保護する。よって、本枝は正しい。
なお、通常商標は、２０条３項の遅れた申請でも、２１条の回復でも満了時に遡って更新されるが、回復前の第三者の使用等には２２条により権利の効力が及ばない。</x:v>
      </x:c>
      <x:c r="I121" s="22" t="str">
        <x:v>商６５条の３第４項、商６５条の３第３項</x:v>
      </x:c>
      <x:c r="J121" s="22" t="str"/>
      <x:c r="K121" s="22" t="str">
        <x:v>令和2年度短答（TAC過去問）／【商標】7 （ロ）／スライド200-201</x:v>
      </x:c>
      <x:c r="L121" s="22" t="n">
        <x:v>0</x:v>
      </x:c>
      <x:c r="M121" s="22" t="n">
        <x:v>0</x:v>
      </x:c>
      <x:c r="N121" s="23" t="str">
        <x:f>IF(SUM(L121:M121)=0,"",L121/SUM(L121:M121))</x:f>
      </x:c>
      <x:c r="O121" s="22" t="str">
        <x:f>IF(SUM(L121:M121)=0,"NEW",IF(N121&gt;=0.9,"A",IF(N121&gt;=0.75,"B",IF(N121&gt;=0.5,"C","D"))))</x:f>
        <x:v>NEW</x:v>
      </x:c>
      <x:c r="P121" s="22" t="n">
        <x:v>0</x:v>
      </x:c>
      <x:c r="Q121" s="24"/>
      <x:c r="R121" s="24"/>
      <x:c r="S121" s="22" t="str">
        <x:v>原問：商標権等の分割及び存続期間の更新等に関し、次の（イ）～（ホ）のうち、誤っているものは、いくつあるか。　
ただし、マドリッド協定の議定書に基づく特例は考慮しないものとする。</x:v>
      </x:c>
    </x:row>
    <x:row r="122">
      <x:c r="A122" s="22" t="str">
        <x:v>R02-T07-ハ</x:v>
      </x:c>
      <x:c r="B122" s="22" t="str">
        <x:v>商標</x:v>
      </x:c>
      <x:c r="C122" s="22" t="str">
        <x:v>商標権等の分割及び存続期間の更新等</x:v>
      </x:c>
      <x:c r="D122" s="22" t="str">
        <x:v>商標権等の分割及び存続期間の更新等／（ハ）</x:v>
      </x:c>
      <x:c r="E122" s="22" t="str">
        <x:v>○×</x:v>
      </x:c>
      <x:c r="F122" s="22" t="str">
        <x:v>指定商品が２以上ある商標権については、当該商標権が消滅した後は、その商標権を指定商品ごとに分割できる場合はない。
【共通条件】ただし、マドリッド協定の議定書に基づく特例は考慮しないものとする。</x:v>
      </x:c>
      <x:c r="G122" s="22" t="str">
        <x:v>×</x:v>
      </x:c>
      <x:c r="H122" s="22" t="str">
        <x:v>商標権の分割は、その指定商品又は指定役務が２以上あるときは、指定商品又は指定役務ごとにすることができる（商２４条１項）。そして、商標権の分割は、商標権の消減後においても、商４６条３項の審判（商標登録の無効の審判）の請求があったときは、その事件が審判、再審又は訴訟に係属している場合に限り、することができる（商２４条２項）。
我が国は、４６条３項の規定により商標権消滅後においても無効審判を請求することが可能であるため、商標権消滅後においても、この無効審判に係る事件が審判、再審、又は訴訟に係属している場合に限り、登録の分割を認めることとした。
例えば権利消滅後に商標権侵害に基づく損害賠償の請求をしたところ、無効審判を請求されたので、無効審判の請求に係る指定商品（役務）と請求に係らない指定商品（役務）とに商標権を分けて、無効審判の請求に係らない指定商品（役務）についての商標権に関する審判請求不成立の審決を早く確定させ、これのみに基づく権利行使を早く進めたいというような場合等には本項により分割することが可能となる。よって、本枝は誤り。</x:v>
      </x:c>
      <x:c r="I122" s="22" t="str">
        <x:v>商２４条１項、商４６条３項、商２４条２項</x:v>
      </x:c>
      <x:c r="J122" s="22" t="str"/>
      <x:c r="K122" s="22" t="str">
        <x:v>令和2年度短答（TAC過去問）／【商標】7 （ハ）／スライド202-203</x:v>
      </x:c>
      <x:c r="L122" s="22" t="n">
        <x:v>0</x:v>
      </x:c>
      <x:c r="M122" s="22" t="n">
        <x:v>0</x:v>
      </x:c>
      <x:c r="N122" s="23" t="str">
        <x:f>IF(SUM(L122:M122)=0,"",L122/SUM(L122:M122))</x:f>
      </x:c>
      <x:c r="O122" s="22" t="str">
        <x:f>IF(SUM(L122:M122)=0,"NEW",IF(N122&gt;=0.9,"A",IF(N122&gt;=0.75,"B",IF(N122&gt;=0.5,"C","D"))))</x:f>
        <x:v>NEW</x:v>
      </x:c>
      <x:c r="P122" s="22" t="n">
        <x:v>0</x:v>
      </x:c>
      <x:c r="Q122" s="24"/>
      <x:c r="R122" s="24"/>
      <x:c r="S122" s="22" t="str">
        <x:v>原問：商標権等の分割及び存続期間の更新等に関し、次の（イ）～（ホ）のうち、誤っているものは、いくつあるか。　
ただし、マドリッド協定の議定書に基づく特例は考慮しないものとする。</x:v>
      </x:c>
    </x:row>
    <x:row r="123">
      <x:c r="A123" s="22" t="str">
        <x:v>R02-T07-ニ</x:v>
      </x:c>
      <x:c r="B123" s="22" t="str">
        <x:v>商標</x:v>
      </x:c>
      <x:c r="C123" s="22" t="str">
        <x:v>商標権等の分割及び存続期間の更新等</x:v>
      </x:c>
      <x:c r="D123" s="22" t="str">
        <x:v>商標権等の分割及び存続期間の更新等／（ニ）</x:v>
      </x:c>
      <x:c r="E123" s="22" t="str">
        <x:v>○×</x:v>
      </x:c>
      <x:c r="F123" s="22" t="str">
        <x:v>商標権者は、商標権の存続期間の満了前６月から更新登録の申請ができるので、商標権の存続期間の満了の日が令和２年５月２０日（水曜日）である商標権については、令和元年１１月２１日（木曜日）からその存続期間の更新登録の申請をすることができる。
【共通条件】ただし、マドリッド協定の議定書に基づく特例は考慮しないものとする。</x:v>
      </x:c>
      <x:c r="G123" s="22" t="str">
        <x:v>○</x:v>
      </x:c>
      <x:c r="H123" s="22" t="str">
        <x:v>商標権の存続期間の更新登録の申請は、商標権の「存続期間の満了前６月」から満了の日までの間にしなければならない【商２０条②】。この場合、満了前６月は、①初日が、満了日であるＲ０２／５／２０（水）であり、②起算日は、初日が午後零時（２４時）に終了するため、初日を算入し【商７７条①で準用する特３条①－１号但書】、初日であるＲ０２／５／２０が起算日ともなり、③応当日は６月前のＲ０１／１１／２０（水）、④末日がその翌日のＲ０１／１１／２１（木）となる。従って、Ｒ０１／１１／２１（木）から存続期間の更新登録の申請をすることができる。よって、正しい。</x:v>
      </x:c>
      <x:c r="I123" s="22" t="str">
        <x:v>商２０条②、商７７条①、特３条①－１号</x:v>
      </x:c>
      <x:c r="J123" s="22" t="str"/>
      <x:c r="K123" s="22" t="str">
        <x:v>令和2年度短答（TAC過去問）／【商標】7 （ニ）／スライド206</x:v>
      </x:c>
      <x:c r="L123" s="22" t="n">
        <x:v>0</x:v>
      </x:c>
      <x:c r="M123" s="22" t="n">
        <x:v>0</x:v>
      </x:c>
      <x:c r="N123" s="23" t="str">
        <x:f>IF(SUM(L123:M123)=0,"",L123/SUM(L123:M123))</x:f>
      </x:c>
      <x:c r="O123" s="22" t="str">
        <x:f>IF(SUM(L123:M123)=0,"NEW",IF(N123&gt;=0.9,"A",IF(N123&gt;=0.75,"B",IF(N123&gt;=0.5,"C","D"))))</x:f>
        <x:v>NEW</x:v>
      </x:c>
      <x:c r="P123" s="22" t="n">
        <x:v>0</x:v>
      </x:c>
      <x:c r="Q123" s="24"/>
      <x:c r="R123" s="24"/>
      <x:c r="S123" s="22" t="str">
        <x:v>原問：商標権等の分割及び存続期間の更新等に関し、次の（イ）～（ホ）のうち、誤っているものは、いくつあるか。　
ただし、マドリッド協定の議定書に基づく特例は考慮しないものとする。</x:v>
      </x:c>
    </x:row>
    <x:row r="124">
      <x:c r="A124" s="22" t="str">
        <x:v>R02-T07-ホ</x:v>
      </x:c>
      <x:c r="B124" s="22" t="str">
        <x:v>商標</x:v>
      </x:c>
      <x:c r="C124" s="22" t="str">
        <x:v>商標権等の分割及び存続期間の更新等</x:v>
      </x:c>
      <x:c r="D124" s="22" t="str">
        <x:v>商標権等の分割及び存続期間の更新等／（ホ）</x:v>
      </x:c>
      <x:c r="E124" s="22" t="str">
        <x:v>○×</x:v>
      </x:c>
      <x:c r="F124" s="22" t="str">
        <x:v>防護標章登録をすべき旨の査定の謄本の送達があった日から３０日以内に納付すべき登録料を、納付すべき者の意に反して利害関係人が納付した場合は、防護標章登録に基づく権利の設定の登録はされない。
【共通条件】ただし、マドリッド協定の議定書に基づく特例は考慮しないものとする。</x:v>
      </x:c>
      <x:c r="G124" s="22" t="str">
        <x:v>×</x:v>
      </x:c>
      <x:c r="H124" s="22" t="str">
        <x:v>防護標章登録に基づく権利の設定登録料は、防護標章登録をすべき旨の査定の謄本の送達があった日から３０日以内に納付しなければならないところ（商６５条の８第１項）、利害関係人は、納付すべき者の意に反しても、当該設定登録料（商６５条の７第１項の規定による登録料）を納付することができる（商６５条の９第１項）。
したがって、納付すべき者の意に反して利害関係人が設定登録料を納付した場合であっても、防護標章登録に基づく権利の設定の登録はされる。よって、本枝は誤り。
なお、この登録料からは、「更新登録の申請と同時に納付すべき登録料を除かれる」【商４１条の５①かっこ書】。更新登録の申請と同時に納付すべき登録料（すなわち、一括納付又は分割納付前半分の更新登録料）については、平成８年の一部改正において更新登録の手続が商標権者の意図のみをもって行われ、登録料の納付を同時に行わなければならない「申請」としたことから、利害関係人による納付を考慮する余地はないのである。更新登録の申請と同時に納付すべき登録料以外の登録料については、その納付が可能となる時から納付期限に至る間に一定の期間が設けられていること等により利害関係人の納付を認める実益がある。</x:v>
      </x:c>
      <x:c r="I124" s="22" t="str">
        <x:v>商６５条の８第１項、商６５条の７第１項、商６５条の９第１項、商４１条の５①</x:v>
      </x:c>
      <x:c r="J124" s="22" t="str"/>
      <x:c r="K124" s="22" t="str">
        <x:v>令和2年度短答（TAC過去問）／【商標】7 （ホ）／スライド209-210</x:v>
      </x:c>
      <x:c r="L124" s="22" t="n">
        <x:v>0</x:v>
      </x:c>
      <x:c r="M124" s="22" t="n">
        <x:v>0</x:v>
      </x:c>
      <x:c r="N124" s="23" t="str">
        <x:f>IF(SUM(L124:M124)=0,"",L124/SUM(L124:M124))</x:f>
      </x:c>
      <x:c r="O124" s="22" t="str">
        <x:f>IF(SUM(L124:M124)=0,"NEW",IF(N124&gt;=0.9,"A",IF(N124&gt;=0.75,"B",IF(N124&gt;=0.5,"C","D"))))</x:f>
        <x:v>NEW</x:v>
      </x:c>
      <x:c r="P124" s="22" t="n">
        <x:v>0</x:v>
      </x:c>
      <x:c r="Q124" s="24"/>
      <x:c r="R124" s="24"/>
      <x:c r="S124" s="22" t="str">
        <x:v>原問：商標権等の分割及び存続期間の更新等に関し、次の（イ）～（ホ）のうち、誤っているものは、いくつあるか。　
ただし、マドリッド協定の議定書に基づく特例は考慮しないものとする。</x:v>
      </x:c>
    </x:row>
    <x:row r="125">
      <x:c r="A125" s="22" t="str">
        <x:v>R02-T08-1</x:v>
      </x:c>
      <x:c r="B125" s="22" t="str">
        <x:v>商標</x:v>
      </x:c>
      <x:c r="C125" s="22" t="str"/>
      <x:c r="D125" s="22" t="str">
        <x:v>第8問1</x:v>
      </x:c>
      <x:c r="E125" s="22" t="str">
        <x:v>○×</x:v>
      </x:c>
      <x:c r="F125" s="22" t="str">
        <x:v>商標登録出願に係る指定役務が、第３５類の「化粧品の小売又は卸売の業務において行われる顧客に対する便益の提供」である場合に、これを第３類の「化粧品」に変更する補正は、要旨を変更するものとして却下されることはない。</x:v>
      </x:c>
      <x:c r="G125" s="22" t="str">
        <x:v>×</x:v>
      </x:c>
      <x:c r="H125" s="22" t="str">
        <x:v>願書に記載した指定商品若しくは指定役務又は商標登録を受けようとする商標についてした補正がこれらの「要旨を変更するものであるとき」は、審査官は、「決定をもってその補正を却下しなければならない」【商１６条の２①】。
ここで、小売等「役務」を「商品」に変更する補正は、要旨の変更に該当する（商標審査基準「１６条の２及び１７条の２」参照）。したがって、本枝の補正は、要旨を変更するものとして却下される。よって、本枝は誤り。</x:v>
      </x:c>
      <x:c r="I125" s="22" t="str">
        <x:v>商１６条の２①</x:v>
      </x:c>
      <x:c r="J125" s="22" t="str"/>
      <x:c r="K125" s="22" t="str">
        <x:v>令和2年度短答（TAC過去問）／【商標】8 1／スライド211</x:v>
      </x:c>
      <x:c r="L125" s="22" t="n">
        <x:v>0</x:v>
      </x:c>
      <x:c r="M125" s="22" t="n">
        <x:v>0</x:v>
      </x:c>
      <x:c r="N125" s="23" t="str">
        <x:f>IF(SUM(L125:M125)=0,"",L125/SUM(L125:M125))</x:f>
      </x:c>
      <x:c r="O125" s="22" t="str">
        <x:f>IF(SUM(L125:M125)=0,"NEW",IF(N125&gt;=0.9,"A",IF(N125&gt;=0.75,"B",IF(N125&gt;=0.5,"C","D"))))</x:f>
        <x:v>NEW</x:v>
      </x:c>
      <x:c r="P125" s="22" t="n">
        <x:v>0</x:v>
      </x:c>
      <x:c r="Q125" s="24"/>
      <x:c r="R125" s="24"/>
      <x:c r="S125" s="22" t="str"/>
    </x:row>
    <x:row r="126">
      <x:c r="A126" s="22" t="str">
        <x:v>R02-T08-2</x:v>
      </x:c>
      <x:c r="B126" s="22" t="str">
        <x:v>商標</x:v>
      </x:c>
      <x:c r="C126" s="22" t="str"/>
      <x:c r="D126" s="22" t="str">
        <x:v>第8問2</x:v>
      </x:c>
      <x:c r="E126" s="22" t="str">
        <x:v>○×</x:v>
      </x:c>
      <x:c r="F126" s="22" t="str">
        <x:v>地域団体商標登録を受けようとする者は、その商標登録出願において商標登録出願人が組合等であることを証明する書面及びその商標登録出願に係る商標が商標法第７条の２第２項に規定する地域の名称を含むものであることを証明するために必要な書類を特許庁長官に提出しなければならないが、これらの書類の提出がされない場合は、審査官は、商標法第１５条第１号（拒絶の査定）に該当する旨の通知をしなければならない。</x:v>
      </x:c>
      <x:c r="G126" s="22" t="str">
        <x:v>×</x:v>
      </x:c>
      <x:c r="H126" s="22" t="str">
        <x:v>地域団体商標の商標登録を受けようとする者は、その商標登録出願において、商標登録出願人が組合等であることを証明する書面及びその商標登録出願に係る商標が商７条の２第２項に規定する地域の名称を含むものであることを証明するため必要な書類を特許庁長官に提出しなければならない（商７条の２第４項）。したがって、本枝の前段は正しい。
これに対し、商７条の２第４項違反は商１５条（拒絶の査定）各号に列挙されていないため、商７条の２第４項の書類の提出がされない場合であっても、審査官は、商１５条１号（拒絶の査定）に該当する旨の通知をしない。よって、本枝は誤り。
なお、商７条の２第４項の書類の提出がされない場合は、「手続がこの法律で定める方式に違反しているとき（特１７条３項２号）」に該当するため、特許庁長官により手続の補正をすべきことが命じられる（商７７条２項で読み替えて準用する特１７条３項２号）。そして、手続の補正に応じないときは、出願が却下される（商７７条２項で準用する特１８条１項、青本商７条の２第４項）。</x:v>
      </x:c>
      <x:c r="I126" s="22" t="str">
        <x:v>商７条の２第２項、商７条の２第４項、商１５条、商１５条１号、特１７条３項２号、商７７条２項、特１８条１項</x:v>
      </x:c>
      <x:c r="J126" s="22" t="str"/>
      <x:c r="K126" s="22" t="str">
        <x:v>令和2年度短答（TAC過去問）／【商標】8 2／スライド212-213</x:v>
      </x:c>
      <x:c r="L126" s="22" t="n">
        <x:v>0</x:v>
      </x:c>
      <x:c r="M126" s="22" t="n">
        <x:v>0</x:v>
      </x:c>
      <x:c r="N126" s="23" t="str">
        <x:f>IF(SUM(L126:M126)=0,"",L126/SUM(L126:M126))</x:f>
      </x:c>
      <x:c r="O126" s="22" t="str">
        <x:f>IF(SUM(L126:M126)=0,"NEW",IF(N126&gt;=0.9,"A",IF(N126&gt;=0.75,"B",IF(N126&gt;=0.5,"C","D"))))</x:f>
        <x:v>NEW</x:v>
      </x:c>
      <x:c r="P126" s="22" t="n">
        <x:v>0</x:v>
      </x:c>
      <x:c r="Q126" s="24"/>
      <x:c r="R126" s="24"/>
      <x:c r="S126" s="22" t="str"/>
    </x:row>
    <x:row r="127">
      <x:c r="A127" s="22" t="str">
        <x:v>R02-T08-3</x:v>
      </x:c>
      <x:c r="B127" s="22" t="str">
        <x:v>商標</x:v>
      </x:c>
      <x:c r="C127" s="22" t="str"/>
      <x:c r="D127" s="22" t="str">
        <x:v>第8問3</x:v>
      </x:c>
      <x:c r="E127" s="22" t="str">
        <x:v>○×</x:v>
      </x:c>
      <x:c r="F127" s="22" t="str">
        <x:v>音からなる商標について商標登録を受けようとする商標登録出願人は、その商標の詳細な説明を願書に記載した場合であっても、経済産業省令で定める物件を願書に添付しなければならない。</x:v>
      </x:c>
      <x:c r="G127" s="22" t="str">
        <x:v>○</x:v>
      </x:c>
      <x:c r="H127" s="22" t="str">
        <x:v>経済産業省令で定める商標について商標登録を受けようとするときは、経済産業省令で定めるところにより、その商標の詳細な説明を願書に記載し、又は経済産業省令で定める物件を願書に添付しなければならない（商５条４項）。
そして、音からなる商標は商５条４項に規定された「経済産業省令で定める商標」に該当するところ（商施規４条の８第１項５号）、音からなる商標についての願書には、商標の詳細な説明の記載（商標登録を受けようとする商標を特定するために必要がある場合に限る。）「及び」商５条４項の経済産業省令で定める物件の添付をしなければならない（商施規４条の８第２項５号）。よって、本枝は正しい。</x:v>
      </x:c>
      <x:c r="I127" s="22" t="str">
        <x:v>商５条４項</x:v>
      </x:c>
      <x:c r="J127" s="22" t="str"/>
      <x:c r="K127" s="22" t="str">
        <x:v>令和2年度短答（TAC過去問）／【商標】8 3／スライド214</x:v>
      </x:c>
      <x:c r="L127" s="22" t="n">
        <x:v>0</x:v>
      </x:c>
      <x:c r="M127" s="22" t="n">
        <x:v>0</x:v>
      </x:c>
      <x:c r="N127" s="23" t="str">
        <x:f>IF(SUM(L127:M127)=0,"",L127/SUM(L127:M127))</x:f>
      </x:c>
      <x:c r="O127" s="22" t="str">
        <x:f>IF(SUM(L127:M127)=0,"NEW",IF(N127&gt;=0.9,"A",IF(N127&gt;=0.75,"B",IF(N127&gt;=0.5,"C","D"))))</x:f>
        <x:v>NEW</x:v>
      </x:c>
      <x:c r="P127" s="22" t="n">
        <x:v>0</x:v>
      </x:c>
      <x:c r="Q127" s="24"/>
      <x:c r="R127" s="24"/>
      <x:c r="S127" s="22" t="str"/>
    </x:row>
    <x:row r="128">
      <x:c r="A128" s="22" t="str">
        <x:v>R02-T08-4</x:v>
      </x:c>
      <x:c r="B128" s="22" t="str">
        <x:v>商標</x:v>
      </x:c>
      <x:c r="C128" s="22" t="str"/>
      <x:c r="D128" s="22" t="str">
        <x:v>第8問4</x:v>
      </x:c>
      <x:c r="E128" s="22" t="str">
        <x:v>○×</x:v>
      </x:c>
      <x:c r="F128" s="22" t="str">
        <x:v>審査官は、先願に係る他人の未登録商標の存在を理由として、商標登録出願人に対し当該未登録商標が商標登録されることにより当該出願人の商標登録出願が商標法第１５条第１号（拒絶の査定）に該当することとなる旨を通知し、相当の期間を指定して意見書を提出する機会を与えることができる。また、その未登録商標が商標登録されたときは、審査官は、改めて、商標法第１５条の２における拒絶理由の通知をしなければならない。</x:v>
      </x:c>
      <x:c r="G128" s="22" t="str">
        <x:v>×</x:v>
      </x:c>
      <x:c r="H128" s="22" t="str">
        <x:v>審査官は、先願に係る他人の未登録商標の存在を理由として、商標登録出願人に対し当該未登録商標が商標登録されることにより当該出願人の商標登録出願が商１５条１号（拒絶の査定）に該当することとなる旨を通知し、相当の期間を指定して、意見書を提出する機会を与えることができる（商１５条の３第１項）。したがって、本枝の前段は正しい。
しかし、この通知がされている場合であって、当該他人の未登録商標が商標登録されたときは、審査官は、商１５条の２の拒絶理由通知をすることを要しない（商１５条の３第２項）。既に意見書提出の機会が与えられているため、先願登録後に改めて１５条の２の拒絶理由通知をしても重複となることから、手続経済の趣旨から、同条２項は再度の通知を不要とした。したがって、本枝の後段は誤り。よって、本枝は全体として誤り。</x:v>
      </x:c>
      <x:c r="I128" s="22" t="str">
        <x:v>商１５条１号、商１５条の３第１項、商１５条の２、商１５条の３第２項</x:v>
      </x:c>
      <x:c r="J128" s="22" t="str"/>
      <x:c r="K128" s="22" t="str">
        <x:v>令和2年度短答（TAC過去問）／【商標】8 4／スライド215-216</x:v>
      </x:c>
      <x:c r="L128" s="22" t="n">
        <x:v>0</x:v>
      </x:c>
      <x:c r="M128" s="22" t="n">
        <x:v>0</x:v>
      </x:c>
      <x:c r="N128" s="23" t="str">
        <x:f>IF(SUM(L128:M128)=0,"",L128/SUM(L128:M128))</x:f>
      </x:c>
      <x:c r="O128" s="22" t="str">
        <x:f>IF(SUM(L128:M128)=0,"NEW",IF(N128&gt;=0.9,"A",IF(N128&gt;=0.75,"B",IF(N128&gt;=0.5,"C","D"))))</x:f>
        <x:v>NEW</x:v>
      </x:c>
      <x:c r="P128" s="22" t="n">
        <x:v>0</x:v>
      </x:c>
      <x:c r="Q128" s="24"/>
      <x:c r="R128" s="24"/>
      <x:c r="S128" s="22" t="str"/>
    </x:row>
    <x:row r="129">
      <x:c r="A129" s="22" t="str">
        <x:v>R02-T08-5</x:v>
      </x:c>
      <x:c r="B129" s="22" t="str">
        <x:v>商標</x:v>
      </x:c>
      <x:c r="C129" s="22" t="str"/>
      <x:c r="D129" s="22" t="str">
        <x:v>第8問5</x:v>
      </x:c>
      <x:c r="E129" s="22" t="str">
        <x:v>○×</x:v>
      </x:c>
      <x:c r="F129" s="22" t="str">
        <x:v>立体的形状からなる商標について防護標章登録を受けようとする者は、防護標章登録出願の願書に、防護標章登録出願に係る商標登録の登録番号を記載すれば、防護標章登録を受けようとする商標が立体的形状からなる商標である旨を願書に記載する必要はない。</x:v>
      </x:c>
      <x:c r="G129" s="22" t="str">
        <x:v>×</x:v>
      </x:c>
      <x:c r="H129" s="22" t="str">
        <x:v>立体的形状からなる商標について防護標章登録を受けようとする者は、防護標章登録出願の願書に、「防護標章登録出願に係る商標登録の登録番号」を記載しなければならず（商６８条１項で読み替えて準用する商５条１項）、また、「その旨（防護標章登録を受けようとする商標が立体的形状からなる商標である旨）」を願書に記載しなければならない（商６８条１項で準用する商５条２項２号）。
商標の見本だけでは平面か立体か判別できないため、商５条２項２号は「立体である旨」の記載を義務付け、審査対象と保護範囲を特定させている。この趣旨は防護標章でも同じであり準用されている。
これに対し、本枝は、防護標章登録出願に係る商標登録の登録番号を記載すれば、防護標章登録を受けようとする商標が立体的形状からなる商標である旨を願書に記載する必要はない、としている。よって、本枝は誤り。</x:v>
      </x:c>
      <x:c r="I129" s="22" t="str">
        <x:v>商６８条１項、商５条１項、商５条２項２号</x:v>
      </x:c>
      <x:c r="J129" s="22" t="str"/>
      <x:c r="K129" s="22" t="str">
        <x:v>令和2年度短答（TAC過去問）／【商標】8 5／スライド217</x:v>
      </x:c>
      <x:c r="L129" s="22" t="n">
        <x:v>0</x:v>
      </x:c>
      <x:c r="M129" s="22" t="n">
        <x:v>0</x:v>
      </x:c>
      <x:c r="N129" s="23" t="str">
        <x:f>IF(SUM(L129:M129)=0,"",L129/SUM(L129:M129))</x:f>
      </x:c>
      <x:c r="O129" s="22" t="str">
        <x:f>IF(SUM(L129:M129)=0,"NEW",IF(N129&gt;=0.9,"A",IF(N129&gt;=0.75,"B",IF(N129&gt;=0.5,"C","D"))))</x:f>
        <x:v>NEW</x:v>
      </x:c>
      <x:c r="P129" s="22" t="n">
        <x:v>0</x:v>
      </x:c>
      <x:c r="Q129" s="24"/>
      <x:c r="R129" s="24"/>
      <x:c r="S129" s="22" t="str"/>
    </x:row>
    <x:row r="130">
      <x:c r="A130" s="22" t="str">
        <x:v>R02-T09-イ</x:v>
      </x:c>
      <x:c r="B130" s="22" t="str">
        <x:v>商標</x:v>
      </x:c>
      <x:c r="C130" s="22" t="str">
        <x:v>商標の登録異議の申立て</x:v>
      </x:c>
      <x:c r="D130" s="22" t="str">
        <x:v>商標の登録異議の申立て／（イ）</x:v>
      </x:c>
      <x:c r="E130" s="22" t="str">
        <x:v>○×</x:v>
      </x:c>
      <x:c r="F130" s="22" t="str">
        <x:v>登録異議の申立てをすることができる期間の経過後は、登録異議申立書に記載された申立ての理由及び必要な証拠の表示について、要旨を変更する補正ができる場合はない。
【共通条件】ただし、マドリッド協定の議定書に基づく特例は考慮しないものとする。</x:v>
      </x:c>
      <x:c r="G130" s="22" t="str">
        <x:v>×</x:v>
      </x:c>
      <x:c r="H130" s="22" t="str">
        <x:v>登録異議申立書に記載された「登録異議の申立ての理由及び必要な証拠の表示（商４３条の４第１項３号）」については、登録異議の申立てをすることができる期間の経過後３０日を経過するまでは、要旨を変更する補正をすることができる（商４３条の４第２項ただし書）。これは登録異議の申立てに必要な証拠の準備を考慮したものである。よって、本枝は誤り。</x:v>
      </x:c>
      <x:c r="I130" s="22" t="str">
        <x:v>商４３条の４第１項３号、商４３条の４第２項</x:v>
      </x:c>
      <x:c r="J130" s="22" t="str"/>
      <x:c r="K130" s="22" t="str">
        <x:v>令和2年度短答（TAC過去問）／【商標】9 （イ）／スライド218</x:v>
      </x:c>
      <x:c r="L130" s="22" t="n">
        <x:v>0</x:v>
      </x:c>
      <x:c r="M130" s="22" t="n">
        <x:v>0</x:v>
      </x:c>
      <x:c r="N130" s="23" t="str">
        <x:f>IF(SUM(L130:M130)=0,"",L130/SUM(L130:M130))</x:f>
      </x:c>
      <x:c r="O130" s="22" t="str">
        <x:f>IF(SUM(L130:M130)=0,"NEW",IF(N130&gt;=0.9,"A",IF(N130&gt;=0.75,"B",IF(N130&gt;=0.5,"C","D"))))</x:f>
        <x:v>NEW</x:v>
      </x:c>
      <x:c r="P130" s="22" t="n">
        <x:v>0</x:v>
      </x:c>
      <x:c r="Q130" s="24"/>
      <x:c r="R130" s="24"/>
      <x:c r="S130" s="22" t="str">
        <x:v>原問：商標の登録異議の申立てに関し、次の（イ）～（ホ）のうち、正しいものは、いくつあるか。
ただし、マドリッド協定の議定書に基づく特例は考慮しないものとする。</x:v>
      </x:c>
    </x:row>
    <x:row r="131">
      <x:c r="A131" s="22" t="str">
        <x:v>R02-T09-ロ</x:v>
      </x:c>
      <x:c r="B131" s="22" t="str">
        <x:v>商標</x:v>
      </x:c>
      <x:c r="C131" s="22" t="str">
        <x:v>商標の登録異議の申立て</x:v>
      </x:c>
      <x:c r="D131" s="22" t="str">
        <x:v>商標の登録異議の申立て／（ロ）</x:v>
      </x:c>
      <x:c r="E131" s="22" t="str">
        <x:v>○×</x:v>
      </x:c>
      <x:c r="F131" s="22" t="str">
        <x:v>審判長は、登録異議の申立てについての審理においては、事件が登録異議の申立てについての決定をするのに熟したときは、審理の終結を当事者及び参加人に通知しなければならない。
【共通条件】ただし、マドリッド協定の議定書に基づく特例は考慮しないものとする。</x:v>
      </x:c>
      <x:c r="G131" s="22" t="str">
        <x:v>×</x:v>
      </x:c>
      <x:c r="H131" s="22" t="str">
        <x:v>商４３条の１５第１項において、商５６条１項において準用する特１５６条１項（審理の終結の通知）の規定が準用されていない。商標登録異議申立は商標登録に対する信頼を高めるという公益的な目的を達成するために、登録異議の申立てがあった場合に特許庁が自ら登録処分の適否を審理し、瑕疵ある場合にはその是正を図るもの（職権型）だからである（青本「商４３条の２」参照）。
そのため、審判長は、登録異議の申立てについての審理において、事件が登録異議の申立てについての決定をするのに熟したときであっても、当事者間の攻撃防御の終了を告げる意味を持つ審理終結通知を当事者及び参加人に行わない。よって、本枝は誤り。
なお、商標登録無効審判は当事者対立型なので特１５６条を準用し、当事者間の攻撃防御の終了を告げる意味を持つ審理終結通知が必要である。</x:v>
      </x:c>
      <x:c r="I131" s="22" t="str">
        <x:v>商４３条の１５第１項、商５６条１項、特１５６条１項、商４３条の２、特１５６条</x:v>
      </x:c>
      <x:c r="J131" s="22" t="str"/>
      <x:c r="K131" s="22" t="str">
        <x:v>令和2年度短答（TAC過去問）／【商標】9 （ロ）／スライド219</x:v>
      </x:c>
      <x:c r="L131" s="22" t="n">
        <x:v>0</x:v>
      </x:c>
      <x:c r="M131" s="22" t="n">
        <x:v>0</x:v>
      </x:c>
      <x:c r="N131" s="23" t="str">
        <x:f>IF(SUM(L131:M131)=0,"",L131/SUM(L131:M131))</x:f>
      </x:c>
      <x:c r="O131" s="22" t="str">
        <x:f>IF(SUM(L131:M131)=0,"NEW",IF(N131&gt;=0.9,"A",IF(N131&gt;=0.75,"B",IF(N131&gt;=0.5,"C","D"))))</x:f>
        <x:v>NEW</x:v>
      </x:c>
      <x:c r="P131" s="22" t="n">
        <x:v>0</x:v>
      </x:c>
      <x:c r="Q131" s="24"/>
      <x:c r="R131" s="24"/>
      <x:c r="S131" s="22" t="str">
        <x:v>原問：商標の登録異議の申立てに関し、次の（イ）～（ホ）のうち、正しいものは、いくつあるか。
ただし、マドリッド協定の議定書に基づく特例は考慮しないものとする。</x:v>
      </x:c>
    </x:row>
    <x:row r="132">
      <x:c r="A132" s="22" t="str">
        <x:v>R02-T09-ハ</x:v>
      </x:c>
      <x:c r="B132" s="22" t="str">
        <x:v>商標</x:v>
      </x:c>
      <x:c r="C132" s="22" t="str">
        <x:v>商標の登録異議の申立て</x:v>
      </x:c>
      <x:c r="D132" s="22" t="str">
        <x:v>商標の登録異議の申立て／（ハ）</x:v>
      </x:c>
      <x:c r="E132" s="22" t="str">
        <x:v>○×</x:v>
      </x:c>
      <x:c r="F132" s="22" t="str">
        <x:v>登録異議の申立てがあった場合において、商標権に関し利害関係を有する者は、当該登録異議の申立てについての決定があるまでは、登録異議申立人を補助するため、その審理に参加することができる。
【共通条件】ただし、マドリッド協定の議定書に基づく特例は考慮しないものとする。</x:v>
      </x:c>
      <x:c r="G132" s="22" t="str">
        <x:v>×</x:v>
      </x:c>
      <x:c r="H132" s="22" t="str">
        <x:v>商標権についての権利を有する者その他商標権に関し利害関係を有する者は、登録異議の申立てについての決定があるまでは、「商標権者を補助するため」、その審理に参加することができる【商４３条の７①】。１項は、商標権についての権利を有する者や商標権に関して利害関係を有する者は、商標権者を補助するため、登録異議の申立ての審理に参加することができる旨を規定したものである。参加することができるのは登録異議の申立てについての決定があるまで、すなわち審理が終了するまでである。なお、本条は商標権者を補助するための参加を認める規定であり、登録異議申立人側への参加は認められない。登録異議申立期間中は何人も登録異議の申立てができるのであり、また、期間経過後であっても利害関係人は無効審判の請求ができるからである（青本）。即ち、登録異議申立人の側に参加することはできない。よって、誤り。</x:v>
      </x:c>
      <x:c r="I132" s="22" t="str">
        <x:v>商４３条の７①</x:v>
      </x:c>
      <x:c r="J132" s="22" t="str"/>
      <x:c r="K132" s="22" t="str">
        <x:v>令和2年度短答（TAC過去問）／【商標】9 （ハ）／スライド220</x:v>
      </x:c>
      <x:c r="L132" s="22" t="n">
        <x:v>0</x:v>
      </x:c>
      <x:c r="M132" s="22" t="n">
        <x:v>0</x:v>
      </x:c>
      <x:c r="N132" s="23" t="str">
        <x:f>IF(SUM(L132:M132)=0,"",L132/SUM(L132:M132))</x:f>
      </x:c>
      <x:c r="O132" s="22" t="str">
        <x:f>IF(SUM(L132:M132)=0,"NEW",IF(N132&gt;=0.9,"A",IF(N132&gt;=0.75,"B",IF(N132&gt;=0.5,"C","D"))))</x:f>
        <x:v>NEW</x:v>
      </x:c>
      <x:c r="P132" s="22" t="n">
        <x:v>0</x:v>
      </x:c>
      <x:c r="Q132" s="24"/>
      <x:c r="R132" s="24"/>
      <x:c r="S132" s="22" t="str">
        <x:v>原問：商標の登録異議の申立てに関し、次の（イ）～（ホ）のうち、正しいものは、いくつあるか。
ただし、マドリッド協定の議定書に基づく特例は考慮しないものとする。</x:v>
      </x:c>
    </x:row>
    <x:row r="133">
      <x:c r="A133" s="22" t="str">
        <x:v>R02-T09-ニ</x:v>
      </x:c>
      <x:c r="B133" s="22" t="str">
        <x:v>商標</x:v>
      </x:c>
      <x:c r="C133" s="22" t="str">
        <x:v>商標の登録異議の申立て</x:v>
      </x:c>
      <x:c r="D133" s="22" t="str">
        <x:v>商標の登録異議の申立て／（ニ）</x:v>
      </x:c>
      <x:c r="E133" s="22" t="str">
        <x:v>○×</x:v>
      </x:c>
      <x:c r="F133" s="22" t="str">
        <x:v>政令で定める商品及び役務の区分に従って商品を指定していない商標登録出願に対して商標登録がされたことを理由として、登録異議の申立てをすることができる場合がある。
【共通条件】ただし、マドリッド協定の議定書に基づく特例は考慮しないものとする。</x:v>
      </x:c>
      <x:c r="G133" s="22" t="str">
        <x:v>×</x:v>
      </x:c>
      <x:c r="H133" s="22" t="str">
        <x:v>政令で定める商品及び役務の区分に従って商品が指定されていないことは、商６条２項に規定する要件を満たしていないことを意味する。商６条２項に規定する要件を満たしていないことは、拒絶理由（商１５条３号）とされているものの、登録異議の申立ての理由（商４３条の２各号）とされていない。
商６条２項の区分は、特許庁の事務処理上の整理にすぎず、類似範囲を決めるものではない（商６条３項）。このことから、区分違反は拒絶理由（商１５条３号）にはなるものの、登録後は第三者の利益も公益も害しないため、商標登録そのものを取り消すべき瑕疵とはいないことから、異議理由（商４３条の２）にも無効理由（商４６条１項）にもされていない。
したがって、政令で定める商品及び役務の区分に従って商品を指定していない商標登録出願に対して商標登録がされたことを理由として、登録異議の申立てをすることができる場合はない。よって、本枝は誤り。</x:v>
      </x:c>
      <x:c r="I133" s="22" t="str">
        <x:v>商６条２項、商１５条３号、商４３条の２、商６条３項、商４６条１項</x:v>
      </x:c>
      <x:c r="J133" s="22" t="str"/>
      <x:c r="K133" s="22" t="str">
        <x:v>令和2年度短答（TAC過去問）／【商標】9 （ニ）／スライド221-222</x:v>
      </x:c>
      <x:c r="L133" s="22" t="n">
        <x:v>0</x:v>
      </x:c>
      <x:c r="M133" s="22" t="n">
        <x:v>0</x:v>
      </x:c>
      <x:c r="N133" s="23" t="str">
        <x:f>IF(SUM(L133:M133)=0,"",L133/SUM(L133:M133))</x:f>
      </x:c>
      <x:c r="O133" s="22" t="str">
        <x:f>IF(SUM(L133:M133)=0,"NEW",IF(N133&gt;=0.9,"A",IF(N133&gt;=0.75,"B",IF(N133&gt;=0.5,"C","D"))))</x:f>
        <x:v>NEW</x:v>
      </x:c>
      <x:c r="P133" s="22" t="n">
        <x:v>0</x:v>
      </x:c>
      <x:c r="Q133" s="24"/>
      <x:c r="R133" s="24"/>
      <x:c r="S133" s="22" t="str">
        <x:v>原問：商標の登録異議の申立てに関し、次の（イ）～（ホ）のうち、正しいものは、いくつあるか。
ただし、マドリッド協定の議定書に基づく特例は考慮しないものとする。</x:v>
      </x:c>
    </x:row>
    <x:row r="134">
      <x:c r="A134" s="22" t="str">
        <x:v>R02-T09-ホ</x:v>
      </x:c>
      <x:c r="B134" s="22" t="str">
        <x:v>商標</x:v>
      </x:c>
      <x:c r="C134" s="22" t="str">
        <x:v>商標の登録異議の申立て</x:v>
      </x:c>
      <x:c r="D134" s="22" t="str">
        <x:v>商標の登録異議の申立て／（ホ）</x:v>
      </x:c>
      <x:c r="E134" s="22" t="str">
        <x:v>○×</x:v>
      </x:c>
      <x:c r="F134" s="22" t="str">
        <x:v>登録異議の申立ての審理において、指定商品ａ、ｂ、ｃとする商標登録イに対し、ａ及びｃについて登録異議の申立てがされた場合、登録異議の申立てがされていない指定商品ｂについては、審理をすることができない。
【共通条件】ただし、マドリッド協定の議定書に基づく特例は考慮しないものとする。</x:v>
      </x:c>
      <x:c r="G134" s="22" t="str">
        <x:v>○</x:v>
      </x:c>
      <x:c r="H134" s="22" t="str">
        <x:v>登録異議の申立てについての審理においては、登録異議の申立てがされていない指定商品又は指定役務については、審理することができない（商４３条の９第２項）。
２項は、１項の「登録異議の申立てについての審理においては、商標権者、登録異議申立人又は参加人が申し立てない理由についても、審理することができる。」との規定により登録異議の申立てについての審理において職権審理を認めるとしても、申立てがされていない指定商品又は指定役務についてまで審理することはできない旨を規定したものである。登録異議申立制度は、商標権を設定した後に登録異議の申立てを待ってその審理を行うものであるから、申立ての対象となっていない指定商品又は指定役務についてまで職権により審理を行えることとすると、いたずらに商標権者の地位を不安定にするおそれがあるからである。
したがって、登録異議の申立てがされていない指定商品ｂについては、審理をすることができない。よって、本枝は正しい。</x:v>
      </x:c>
      <x:c r="I134" s="22" t="str">
        <x:v>商４３条の９第２項</x:v>
      </x:c>
      <x:c r="J134" s="22" t="str"/>
      <x:c r="K134" s="22" t="str">
        <x:v>令和2年度短答（TAC過去問）／【商標】9 （ホ）／スライド223-224</x:v>
      </x:c>
      <x:c r="L134" s="22" t="n">
        <x:v>0</x:v>
      </x:c>
      <x:c r="M134" s="22" t="n">
        <x:v>0</x:v>
      </x:c>
      <x:c r="N134" s="23" t="str">
        <x:f>IF(SUM(L134:M134)=0,"",L134/SUM(L134:M134))</x:f>
      </x:c>
      <x:c r="O134" s="22" t="str">
        <x:f>IF(SUM(L134:M134)=0,"NEW",IF(N134&gt;=0.9,"A",IF(N134&gt;=0.75,"B",IF(N134&gt;=0.5,"C","D"))))</x:f>
        <x:v>NEW</x:v>
      </x:c>
      <x:c r="P134" s="22" t="n">
        <x:v>0</x:v>
      </x:c>
      <x:c r="Q134" s="24"/>
      <x:c r="R134" s="24"/>
      <x:c r="S134" s="22" t="str">
        <x:v>原問：商標の登録異議の申立てに関し、次の（イ）～（ホ）のうち、正しいものは、いくつあるか。
ただし、マドリッド協定の議定書に基づく特例は考慮しないものとする。</x:v>
      </x:c>
    </x:row>
    <x:row r="135">
      <x:c r="A135" s="22" t="str">
        <x:v>R02-T10-1</x:v>
      </x:c>
      <x:c r="B135" s="22" t="str">
        <x:v>商標</x:v>
      </x:c>
      <x:c r="C135" s="22" t="str">
        <x:v>商標の審判</x:v>
      </x:c>
      <x:c r="D135" s="22" t="str">
        <x:v>商標の審判／1</x:v>
      </x:c>
      <x:c r="E135" s="22" t="str">
        <x:v>○×</x:v>
      </x:c>
      <x:c r="F135" s="22" t="str">
        <x:v>商標法第５０条第１項の審判（不使用による商標登録の取消しの審判）において、商標登録を取り消すべき旨の審決が確定したときは、商標権は、審判の請求の登録の日に消滅したものとみなされる。
【共通条件】ただし、マドリッド協定の議定書に基づく特例は考慮しないものとする。</x:v>
      </x:c>
      <x:c r="G135" s="22" t="str">
        <x:v>○</x:v>
      </x:c>
      <x:c r="H135" s="22" t="str">
        <x:v>商５０条１項の審判により商標登録を取り消すべき旨の審決が確定したときは、商標権は、同項の審判の請求の登録の日に消減したものとみなされる（商５４条２項）。本枝は、条文に則した内容である。よって、本枝は正しい。
なお、取消審判における取消審決の効果の発生時は取消審決の確定したときが原則である（商§54①）が、不使用取消審判の場合は、その例外として審判請求の登録日まで遡及して取消審決の確定の効果を認めるものである。これは、不使用取消審判により取り消された商標登録に係る商標は、結局は商標法により保護すべき信用が発生していないか、又は一度発生した信用も消滅しているものであり、審決確定日以前についても、このように実体のない商標の登録が維持され、これに基づいて損害賠償の請求等が行われるのを認めることは適当でないからである。</x:v>
      </x:c>
      <x:c r="I135" s="22" t="str">
        <x:v>商５０条１項、商５４条２項</x:v>
      </x:c>
      <x:c r="J135" s="22" t="str"/>
      <x:c r="K135" s="22" t="str">
        <x:v>令和2年度短答（TAC過去問）／【商標】10 1／スライド225</x:v>
      </x:c>
      <x:c r="L135" s="22" t="n">
        <x:v>0</x:v>
      </x:c>
      <x:c r="M135" s="22" t="n">
        <x:v>0</x:v>
      </x:c>
      <x:c r="N135" s="23" t="str">
        <x:f>IF(SUM(L135:M135)=0,"",L135/SUM(L135:M135))</x:f>
      </x:c>
      <x:c r="O135" s="22" t="str">
        <x:f>IF(SUM(L135:M135)=0,"NEW",IF(N135&gt;=0.9,"A",IF(N135&gt;=0.75,"B",IF(N135&gt;=0.5,"C","D"))))</x:f>
        <x:v>NEW</x:v>
      </x:c>
      <x:c r="P135" s="22" t="n">
        <x:v>0</x:v>
      </x:c>
      <x:c r="Q135" s="24"/>
      <x:c r="R135" s="24"/>
      <x:c r="S135" s="22" t="str">
        <x:v>原問：商標の審判に関し、次のうち、誤っているものは、どれか。
ただし、マドリッド協定の議定書に基づく特例は考慮しないものとする。</x:v>
      </x:c>
    </x:row>
    <x:row r="136">
      <x:c r="A136" s="22" t="str">
        <x:v>R02-T10-2</x:v>
      </x:c>
      <x:c r="B136" s="22" t="str">
        <x:v>商標</x:v>
      </x:c>
      <x:c r="C136" s="22" t="str">
        <x:v>商標の審判</x:v>
      </x:c>
      <x:c r="D136" s="22" t="str">
        <x:v>商標の審判／2</x:v>
      </x:c>
      <x:c r="E136" s="22" t="str">
        <x:v>○×</x:v>
      </x:c>
      <x:c r="F136" s="22" t="str">
        <x:v>通常使用権者が指定商品に類似する商品について登録商標を使用し、他人の業務に係る役務と混同を生じさせた場合、そのことを理由とする商標法第５３条の審判（使用権者の不正使用による商標登録の取消しの審判）は、当該使用の事実がなくなった日から５年を経過した後は、請求することができない。
【共通条件】ただし、マドリッド協定の議定書に基づく特例は考慮しないものとする。</x:v>
      </x:c>
      <x:c r="G136" s="22" t="str">
        <x:v>○</x:v>
      </x:c>
      <x:c r="H136" s="22" t="str">
        <x:v>通常使用権者が指定商品に類似する商品についての登録商標の使用であって他人の業務に係る役務と混同を生ずるものをしたときは、当該商標権者がその事実を知らなかった場合において、相当の注意をしていたときを除いて、何人も、当該商標登録を取り消すことについて審判を請求することができる（商５３条１項）。商５３条１項の審判は、当該使用の事実がなくなった日から５年を経過した後は、請求することができない（商５３条３項で準用する商５２条）。本条は、前条の取消審判についての除斥期間の規定である。前条の取消審判は一種の制裁規定であるが、その制裁の対象となる不当な商標の使用が過去においてあったときに、それを理由としていつまでも取消審判を請求できることとするのは余りに酷であるとの見解から本条が設けられたのである。すなわち、不当な使用をやめてから５年以上経過すれば、その間の使用によって信用が当該商標に蓄積される。それを５年以上経過してから取り消すのは、たとえ過去に商標の不当な使用があったとしても、その後の正当な商標の使用による信用を破壊することとなるので妥当ではないからである（青本）。よって、本枝は正しい。</x:v>
      </x:c>
      <x:c r="I136" s="22" t="str">
        <x:v>商５３条１項、商５３条３項、商５２条</x:v>
      </x:c>
      <x:c r="J136" s="22" t="str"/>
      <x:c r="K136" s="22" t="str">
        <x:v>令和2年度短答（TAC過去問）／【商標】10 2／スライド226-227</x:v>
      </x:c>
      <x:c r="L136" s="22" t="n">
        <x:v>0</x:v>
      </x:c>
      <x:c r="M136" s="22" t="n">
        <x:v>0</x:v>
      </x:c>
      <x:c r="N136" s="23" t="str">
        <x:f>IF(SUM(L136:M136)=0,"",L136/SUM(L136:M136))</x:f>
      </x:c>
      <x:c r="O136" s="22" t="str">
        <x:f>IF(SUM(L136:M136)=0,"NEW",IF(N136&gt;=0.9,"A",IF(N136&gt;=0.75,"B",IF(N136&gt;=0.5,"C","D"))))</x:f>
        <x:v>NEW</x:v>
      </x:c>
      <x:c r="P136" s="22" t="n">
        <x:v>0</x:v>
      </x:c>
      <x:c r="Q136" s="24"/>
      <x:c r="R136" s="24"/>
      <x:c r="S136" s="22" t="str">
        <x:v>原問：商標の審判に関し、次のうち、誤っているものは、どれか。
ただし、マドリッド協定の議定書に基づく特例は考慮しないものとする。</x:v>
      </x:c>
    </x:row>
    <x:row r="137">
      <x:c r="A137" s="22" t="str">
        <x:v>R02-T10-3</x:v>
      </x:c>
      <x:c r="B137" s="22" t="str">
        <x:v>商標</x:v>
      </x:c>
      <x:c r="C137" s="22" t="str">
        <x:v>商標の審判</x:v>
      </x:c>
      <x:c r="D137" s="22" t="str">
        <x:v>商標の審判／3</x:v>
      </x:c>
      <x:c r="E137" s="22" t="str">
        <x:v>○×</x:v>
      </x:c>
      <x:c r="F137" s="22" t="str">
        <x:v>審判長は、商標登録の無効の審判事件が審決をするのに熟した場合において、審判の請求に理由があると認めるときは、審決の予告を当事者及び参加人にしなければならない。
【共通条件】ただし、マドリッド協定の議定書に基づく特例は考慮しないものとする。</x:v>
      </x:c>
      <x:c r="G137" s="22" t="str">
        <x:v>×</x:v>
      </x:c>
      <x:c r="H137" s="22" t="str">
        <x:v>「審判長は、特許無効審判の事件が審決をするのに熟した場合において、審判の請求に理由があると認めるときその他の経済産業省令で定めるときは、審決の予告を当事者及び参加人にしなければならない」とする特１６４条の２第１項の規定は、商標法に規定された審判に準用されていない（商５６条１項）。特許法の審決予告（特１６４条の２）は、無効審決前に特許権者へ訂正の機会を与えるための制度であるが、商標法には訂正制度がないことから、審決予告制度も準用されていない。よって、本枝は誤り。
なお、商標に訂正制度がないのは、商標が「具体的な標識そのもの」を保護対象とするからである。特許のように抽象的な技術思想であれば、請求項の文言を絞って権利範囲を縮小できるが、商標は具体的な標識そのもので信用を蓄積しており、少しでもいじると審査を受けていない別の商標になってしまう。また、需要者保護の観点からも、登録商標を後から変えることは認められない。さらに、指定商品・役務の縮小は一部放棄（商３４条の２）で対応可能なため、訂正制度の必要性もない。
ｃｆ．意匠も同じ発想で訂正制度はない。</x:v>
      </x:c>
      <x:c r="I137" s="22" t="str">
        <x:v>特１６４条の２第１項、商５６条１項、特１６４条の２、商３４条の２</x:v>
      </x:c>
      <x:c r="J137" s="22" t="str"/>
      <x:c r="K137" s="22" t="str">
        <x:v>令和2年度短答（TAC過去問）／【商標】10 3／スライド228-229</x:v>
      </x:c>
      <x:c r="L137" s="22" t="n">
        <x:v>0</x:v>
      </x:c>
      <x:c r="M137" s="22" t="n">
        <x:v>0</x:v>
      </x:c>
      <x:c r="N137" s="23" t="str">
        <x:f>IF(SUM(L137:M137)=0,"",L137/SUM(L137:M137))</x:f>
      </x:c>
      <x:c r="O137" s="22" t="str">
        <x:f>IF(SUM(L137:M137)=0,"NEW",IF(N137&gt;=0.9,"A",IF(N137&gt;=0.75,"B",IF(N137&gt;=0.5,"C","D"))))</x:f>
        <x:v>NEW</x:v>
      </x:c>
      <x:c r="P137" s="22" t="n">
        <x:v>0</x:v>
      </x:c>
      <x:c r="Q137" s="24"/>
      <x:c r="R137" s="24"/>
      <x:c r="S137" s="22" t="str">
        <x:v>原問：商標の審判に関し、次のうち、誤っているものは、どれか。
ただし、マドリッド協定の議定書に基づく特例は考慮しないものとする。</x:v>
      </x:c>
    </x:row>
    <x:row r="138">
      <x:c r="A138" s="22" t="str">
        <x:v>R02-T10-4</x:v>
      </x:c>
      <x:c r="B138" s="22" t="str">
        <x:v>商標</x:v>
      </x:c>
      <x:c r="C138" s="22" t="str">
        <x:v>商標の審判</x:v>
      </x:c>
      <x:c r="D138" s="22" t="str">
        <x:v>商標の審判／4</x:v>
      </x:c>
      <x:c r="E138" s="22" t="str">
        <x:v>○×</x:v>
      </x:c>
      <x:c r="F138" s="22" t="str">
        <x:v>二人の者が共同で創作した商標について、一人の者が単独で商標登録出願をして商標登録を受けた場合、当該商標が共同で創作されたことのみを理由として、その商標登録を無効にすることについて審判を請求することはできない。
【共通条件】ただし、マドリッド協定の議定書に基づく特例は考慮しないものとする。</x:v>
      </x:c>
      <x:c r="G138" s="22" t="str">
        <x:v>○</x:v>
      </x:c>
      <x:c r="H138" s="22" t="str">
        <x:v>「商標登録がその商標登録出願により生じた権利を承継しない者の商標登録出願に対してされたとき」は、その商標登録を無効にすることについて審判を請求することができる、とされているが（商４６条１項４号）、二人の者が共同で創作した商標について、一人の者が単独で商標登録出願をして商標登録を受けた場合、当該商標が共同で創作されたことは、商標登録の無効の審判における無効理由とはならない（商４６条１項各号）。よって、本枝は正しい。
【参考】
特許法は発明者の創作への貢献を重視し、発明者に特許を受ける権利があるのに対し、商標法は創作者の概念を認めず、先に出願した者が権利を取得する制度です。共同で考案された商標でも、単独出願が他の創作者の権利侵害とはならず、商標登録の無効理由にも該当しません。これは商標制度が「創作」を保護する法律ではなく、「業務上の選択と使用」を保護する法律であり、創作の貢献よりも商取引上の秩序を優先して設計されているためで、紛争は契約や不正競争防止法で解決すべきとされています。</x:v>
      </x:c>
      <x:c r="I138" s="22" t="str">
        <x:v>商４６条１項４号、商４６条１項</x:v>
      </x:c>
      <x:c r="J138" s="22" t="str"/>
      <x:c r="K138" s="22" t="str">
        <x:v>令和2年度短答（TAC過去問）／【商標】10 4／スライド231-232</x:v>
      </x:c>
      <x:c r="L138" s="22" t="n">
        <x:v>0</x:v>
      </x:c>
      <x:c r="M138" s="22" t="n">
        <x:v>0</x:v>
      </x:c>
      <x:c r="N138" s="23" t="str">
        <x:f>IF(SUM(L138:M138)=0,"",L138/SUM(L138:M138))</x:f>
      </x:c>
      <x:c r="O138" s="22" t="str">
        <x:f>IF(SUM(L138:M138)=0,"NEW",IF(N138&gt;=0.9,"A",IF(N138&gt;=0.75,"B",IF(N138&gt;=0.5,"C","D"))))</x:f>
        <x:v>NEW</x:v>
      </x:c>
      <x:c r="P138" s="22" t="n">
        <x:v>0</x:v>
      </x:c>
      <x:c r="Q138" s="24"/>
      <x:c r="R138" s="24"/>
      <x:c r="S138" s="22" t="str">
        <x:v>原問：商標の審判に関し、次のうち、誤っているものは、どれか。
ただし、マドリッド協定の議定書に基づく特例は考慮しないものとする。</x:v>
      </x:c>
    </x:row>
    <x:row r="139">
      <x:c r="A139" s="22" t="str">
        <x:v>R02-T10-5</x:v>
      </x:c>
      <x:c r="B139" s="22" t="str">
        <x:v>商標</x:v>
      </x:c>
      <x:c r="C139" s="22" t="str">
        <x:v>商標の審判</x:v>
      </x:c>
      <x:c r="D139" s="22" t="str">
        <x:v>商標の審判／5</x:v>
      </x:c>
      <x:c r="E139" s="22" t="str">
        <x:v>○×</x:v>
      </x:c>
      <x:c r="F139" s="22" t="str">
        <x:v>商標法第５０条第１項の審判（不使用による商標登録の取消しの審判）において、当該登録商標がローマ字の文字からなる場合、その文字の表示を片仮名の文字の表示に変更するものであって同一の称呼及び観念を生ずる商標の使用は、その登録商標の使用と認められる。
【共通条件】ただし、マドリッド協定の議定書に基づく特例は考慮しないものとする。</x:v>
      </x:c>
      <x:c r="G139" s="22" t="str">
        <x:v>○</x:v>
      </x:c>
      <x:c r="H139" s="22" t="str">
        <x:v>継続して３年以上日本国内において商標権者等が各指定商品等についての登録商標（書体のみに変更を加えた同一の文字からなる商標、「平仮名、片仮名及びローマ字の文字の表示を相互に変更するものであって同一の称呼及び観念を生ずる商標」、外観において同視される図形からなる商標その他の当該登録商標と社会通念上同一と認められる商標を含む。）の使用をしていないときは、何人も、その指定商品等に係る商標登録を取り消すことについて審判を請求することができる【商５０条①、商３８条⑤かっこ書】。従って、当該登録商標がローマ字の文字からなる場合、その文字の表示を片仮名の文字の表示に変更するものであって同一の称呼及び観念を生ずる商標の使用は、その登録商標の使用と認められる。よって、正しい。</x:v>
      </x:c>
      <x:c r="I139" s="22" t="str">
        <x:v>商５０条①、商３８条⑤</x:v>
      </x:c>
      <x:c r="J139" s="22" t="str"/>
      <x:c r="K139" s="22" t="str">
        <x:v>令和2年度短答（TAC過去問）／【商標】10 5／スライド234</x:v>
      </x:c>
      <x:c r="L139" s="22" t="n">
        <x:v>0</x:v>
      </x:c>
      <x:c r="M139" s="22" t="n">
        <x:v>0</x:v>
      </x:c>
      <x:c r="N139" s="23" t="str">
        <x:f>IF(SUM(L139:M139)=0,"",L139/SUM(L139:M139))</x:f>
      </x:c>
      <x:c r="O139" s="22" t="str">
        <x:f>IF(SUM(L139:M139)=0,"NEW",IF(N139&gt;=0.9,"A",IF(N139&gt;=0.75,"B",IF(N139&gt;=0.5,"C","D"))))</x:f>
        <x:v>NEW</x:v>
      </x:c>
      <x:c r="P139" s="22" t="n">
        <x:v>0</x:v>
      </x:c>
      <x:c r="Q139" s="24"/>
      <x:c r="R139" s="24"/>
      <x:c r="S139" s="22" t="str">
        <x:v>原問：商標の審判に関し、次のうち、誤っているものは、どれか。
ただし、マドリッド協定の議定書に基づく特例は考慮しないものとする。</x:v>
      </x:c>
    </x:row>
    <x:row r="140">
      <x:c r="A140" s="22" t="str">
        <x:v>R02-TR01-1</x:v>
      </x:c>
      <x:c r="B140" s="22" t="str">
        <x:v>条約</x:v>
      </x:c>
      <x:c r="C140" s="22" t="str">
        <x:v>特許協力条約に基づく国際出願</x:v>
      </x:c>
      <x:c r="D140" s="22" t="str">
        <x:v>特許協力条約に基づく国際出願／1</x:v>
      </x:c>
      <x:c r="E140" s="22" t="str">
        <x:v>○×</x:v>
      </x:c>
      <x:c r="F140" s="22" t="str">
        <x:v>指定国は、請求の範囲、明細書及び図面について、出願人が、出願時における国際出願の開示の範囲を超えた補正をすることを認める国内法令を定めてはならない。</x:v>
      </x:c>
      <x:c r="G140" s="22" t="str">
        <x:v>×</x:v>
      </x:c>
      <x:c r="H140" s="22" t="str">
        <x:v>補正は、出願時における国際出願の開示の範囲を超えてしてはならない。ただし、指定国の国内法令が認める場合は、この限りでない（ＰＣＴ２８条（２））。これに対して、本枝では、出願時における国際出願の開示の範囲を超えた補正をすることを認める国内法令を「定めてはならない」とされている。よって、本枝は誤り。</x:v>
      </x:c>
      <x:c r="I140" s="22" t="str">
        <x:v>ＰＣＴ２８条（２）</x:v>
      </x:c>
      <x:c r="J140" s="22" t="str"/>
      <x:c r="K140" s="22" t="str">
        <x:v>令和2年度短答（TAC過去問）／【条約】1 1／スライド235</x:v>
      </x:c>
      <x:c r="L140" s="22" t="n">
        <x:v>0</x:v>
      </x:c>
      <x:c r="M140" s="22" t="n">
        <x:v>0</x:v>
      </x:c>
      <x:c r="N140" s="23" t="str">
        <x:f>IF(SUM(L140:M140)=0,"",L140/SUM(L140:M140))</x:f>
      </x:c>
      <x:c r="O140" s="22" t="str">
        <x:f>IF(SUM(L140:M140)=0,"NEW",IF(N140&gt;=0.9,"A",IF(N140&gt;=0.75,"B",IF(N140&gt;=0.5,"C","D"))))</x:f>
        <x:v>NEW</x:v>
      </x:c>
      <x:c r="P140" s="22" t="n">
        <x:v>0</x:v>
      </x:c>
      <x:c r="Q140" s="24"/>
      <x:c r="R140" s="24"/>
      <x:c r="S140" s="22" t="str">
        <x:v>原問：特許協力条約に基づく国際出願に関し、次のうち、正しいものは、どれか。</x:v>
      </x:c>
    </x:row>
    <x:row r="141">
      <x:c r="A141" s="22" t="str">
        <x:v>R02-TR01-3</x:v>
      </x:c>
      <x:c r="B141" s="22" t="str">
        <x:v>条約</x:v>
      </x:c>
      <x:c r="C141" s="22" t="str">
        <x:v>特許協力条約に基づく国際出願</x:v>
      </x:c>
      <x:c r="D141" s="22" t="str">
        <x:v>特許協力条約に基づく国際出願／3</x:v>
      </x:c>
      <x:c r="E141" s="22" t="str">
        <x:v>○×</x:v>
      </x:c>
      <x:c r="F141" s="22" t="str">
        <x:v>発明の性質上図面によって説明することができても、図面が発明の理解に必要でない場合には、指定官庁は、出願人に対し、図面を所定の期間内に提出することを要求してはならない。</x:v>
      </x:c>
      <x:c r="G141" s="22" t="str">
        <x:v>×</x:v>
      </x:c>
      <x:c r="H141" s="22" t="str">
        <x:v>図面が発明の理解に必要でない場合であっても、発明の性質上図面によって説明することができるときは、指定官庁は、出願人に対し、所定の期間内に図面を提出することを「要求することができる」（ＰＣＴ７条（２）（ⅱ））。これに対して、本枝では「要求してはならない」とされている。よって、本枝は誤り。</x:v>
      </x:c>
      <x:c r="I141" s="22" t="str">
        <x:v>ＰＣＴ７条（２）</x:v>
      </x:c>
      <x:c r="J141" s="22" t="str"/>
      <x:c r="K141" s="22" t="str">
        <x:v>令和2年度短答（TAC過去問）／【条約】1 3／スライド236</x:v>
      </x:c>
      <x:c r="L141" s="22" t="n">
        <x:v>0</x:v>
      </x:c>
      <x:c r="M141" s="22" t="n">
        <x:v>0</x:v>
      </x:c>
      <x:c r="N141" s="23" t="str">
        <x:f>IF(SUM(L141:M141)=0,"",L141/SUM(L141:M141))</x:f>
      </x:c>
      <x:c r="O141" s="22" t="str">
        <x:f>IF(SUM(L141:M141)=0,"NEW",IF(N141&gt;=0.9,"A",IF(N141&gt;=0.75,"B",IF(N141&gt;=0.5,"C","D"))))</x:f>
        <x:v>NEW</x:v>
      </x:c>
      <x:c r="P141" s="22" t="n">
        <x:v>0</x:v>
      </x:c>
      <x:c r="Q141" s="24"/>
      <x:c r="R141" s="24"/>
      <x:c r="S141" s="22" t="str">
        <x:v>原問：特許協力条約に基づく国際出願に関し、次のうち、正しいものは、どれか。</x:v>
      </x:c>
    </x:row>
    <x:row r="142">
      <x:c r="A142" s="22" t="str">
        <x:v>R02-TR01-4</x:v>
      </x:c>
      <x:c r="B142" s="22" t="str">
        <x:v>条約</x:v>
      </x:c>
      <x:c r="C142" s="22" t="str">
        <x:v>特許協力条約に基づく国際出願</x:v>
      </x:c>
      <x:c r="D142" s="22" t="str">
        <x:v>特許協力条約に基づく国際出願／4</x:v>
      </x:c>
      <x:c r="E142" s="22" t="str">
        <x:v>○×</x:v>
      </x:c>
      <x:c r="F142" s="22" t="str">
        <x:v>いずれの締約国も、国際出願に係る発明の特許性を判断するに当たって、先行技術その他の特許性の条件（出願の形式及び内容に係るものを除く。）に関する国内法令上の基準を適用する自由を有する。</x:v>
      </x:c>
      <x:c r="G142" s="22" t="str">
        <x:v>○</x:v>
      </x:c>
      <x:c r="H142" s="22" t="str">
        <x:v>いずれの締約国も、国際出願に係る発明の特許性を判断するに当たって、先行技術その他の特許性の条件（出願の形式及び内容に係るものを除く。）に関する国内法令上の基準を適用する自由を有する（ＰＣＴ２７条（５））。よって、本枝は正しい。</x:v>
      </x:c>
      <x:c r="I142" s="22" t="str">
        <x:v>ＰＣＴ２７条（５）</x:v>
      </x:c>
      <x:c r="J142" s="22" t="str"/>
      <x:c r="K142" s="22" t="str">
        <x:v>令和2年度短答（TAC過去問）／【条約】1 4／スライド237</x:v>
      </x:c>
      <x:c r="L142" s="22" t="n">
        <x:v>0</x:v>
      </x:c>
      <x:c r="M142" s="22" t="n">
        <x:v>0</x:v>
      </x:c>
      <x:c r="N142" s="23" t="str">
        <x:f>IF(SUM(L142:M142)=0,"",L142/SUM(L142:M142))</x:f>
      </x:c>
      <x:c r="O142" s="22" t="str">
        <x:f>IF(SUM(L142:M142)=0,"NEW",IF(N142&gt;=0.9,"A",IF(N142&gt;=0.75,"B",IF(N142&gt;=0.5,"C","D"))))</x:f>
        <x:v>NEW</x:v>
      </x:c>
      <x:c r="P142" s="22" t="n">
        <x:v>0</x:v>
      </x:c>
      <x:c r="Q142" s="24"/>
      <x:c r="R142" s="24"/>
      <x:c r="S142" s="22" t="str">
        <x:v>原問：特許協力条約に基づく国際出願に関し、次のうち、正しいものは、どれか。</x:v>
      </x:c>
    </x:row>
    <x:row r="143">
      <x:c r="A143" s="22" t="str">
        <x:v>R02-TR01-5</x:v>
      </x:c>
      <x:c r="B143" s="22" t="str">
        <x:v>条約</x:v>
      </x:c>
      <x:c r="C143" s="22" t="str">
        <x:v>特許協力条約に基づく国際出願</x:v>
      </x:c>
      <x:c r="D143" s="22" t="str">
        <x:v>特許協力条約に基づく国際出願／5</x:v>
      </x:c>
      <x:c r="E143" s="22" t="str">
        <x:v>○×</x:v>
      </x:c>
      <x:c r="F143" s="22" t="str">
        <x:v>指定官庁は、国際事務局から国際出願の写しが送付されない場合には、出願人に対し、優先日から１年を経過した後できる限り速やかにその写しをその指定官庁に送付するよう要求しなければならない。</x:v>
      </x:c>
      <x:c r="G143" s="22" t="str">
        <x:v>×</x:v>
      </x:c>
      <x:c r="H143" s="22" t="str">
        <x:v>指定官庁は、ＰＣＴ２０条の送達（国際調査報告等の送達）に先立って国際出願の写しを送付することを国際事務局に要請することができるものとし、国際事務局は、優先日から１年を経過した後できる限り速やかにその写しをその指定官庁に送付する（ＰＣＴ１３条（１））。このように、ＰＣＴ１３条（１）によれば、国際出願の写しの指定官庁への送付は、その指定官庁から国際事務局に要請され、その要請を受けた国際事務局によりなされる。これに対して、本枝では、国際出願の写しの指定官庁への送付は、「出願人に対し…要求しなければならない」とされている。よって、本枝は誤り。</x:v>
      </x:c>
      <x:c r="I143" s="22" t="str">
        <x:v>ＰＣＴ２０条、ＰＣＴ１３条（１）</x:v>
      </x:c>
      <x:c r="J143" s="22" t="str"/>
      <x:c r="K143" s="22" t="str">
        <x:v>令和2年度短答（TAC過去問）／【条約】1 5／スライド238</x:v>
      </x:c>
      <x:c r="L143" s="22" t="n">
        <x:v>0</x:v>
      </x:c>
      <x:c r="M143" s="22" t="n">
        <x:v>0</x:v>
      </x:c>
      <x:c r="N143" s="23" t="str">
        <x:f>IF(SUM(L143:M143)=0,"",L143/SUM(L143:M143))</x:f>
      </x:c>
      <x:c r="O143" s="22" t="str">
        <x:f>IF(SUM(L143:M143)=0,"NEW",IF(N143&gt;=0.9,"A",IF(N143&gt;=0.75,"B",IF(N143&gt;=0.5,"C","D"))))</x:f>
        <x:v>NEW</x:v>
      </x:c>
      <x:c r="P143" s="22" t="n">
        <x:v>0</x:v>
      </x:c>
      <x:c r="Q143" s="24"/>
      <x:c r="R143" s="24"/>
      <x:c r="S143" s="22" t="str">
        <x:v>原問：特許協力条約に基づく国際出願に関し、次のうち、正しいものは、どれか。</x:v>
      </x:c>
    </x:row>
    <x:row r="144">
      <x:c r="A144" s="22" t="str">
        <x:v>R02-TR02-1</x:v>
      </x:c>
      <x:c r="B144" s="22" t="str">
        <x:v>条約</x:v>
      </x:c>
      <x:c r="C144" s="22" t="str">
        <x:v>特許協力条約に基づく国際出願</x:v>
      </x:c>
      <x:c r="D144" s="22" t="str">
        <x:v>特許協力条約に基づく国際出願／1</x:v>
      </x:c>
      <x:c r="E144" s="22" t="str">
        <x:v>○×</x:v>
      </x:c>
      <x:c r="F144" s="22" t="str">
        <x:v>国際公開の技術的な準備の完了の時に国際調査報告をまだ利用することができない場合には、表紙には、国際調査報告を利用することができなかった旨、及び国際調査報告が（利用することができるようになったときに）改訂された表紙とともに別個に公開される旨を掲載する。</x:v>
      </x:c>
      <x:c r="G144" s="22" t="str">
        <x:v>○</x:v>
      </x:c>
      <x:c r="H144" s="22" t="str">
        <x:v>国際公開の技術的な準備の完了の時に国際調査報告をまだ利用することができない場合には、表紙には、国際調査報告を利用することができなかった旨、及び国際調査報告が（利用することができるようになったときに）改訂された表紙とともに「別個に公開される旨を掲載」する（ＰＣＴ規則４８．２（ｇ））。よって、本枝は正しい。</x:v>
      </x:c>
      <x:c r="I144" s="22" t="str"/>
      <x:c r="J144" s="22" t="str"/>
      <x:c r="K144" s="22" t="str">
        <x:v>令和2年度短答（TAC過去問）／【条約】2 1／スライド239</x:v>
      </x:c>
      <x:c r="L144" s="22" t="n">
        <x:v>0</x:v>
      </x:c>
      <x:c r="M144" s="22" t="n">
        <x:v>0</x:v>
      </x:c>
      <x:c r="N144" s="23" t="str">
        <x:f>IF(SUM(L144:M144)=0,"",L144/SUM(L144:M144))</x:f>
      </x:c>
      <x:c r="O144" s="22" t="str">
        <x:f>IF(SUM(L144:M144)=0,"NEW",IF(N144&gt;=0.9,"A",IF(N144&gt;=0.75,"B",IF(N144&gt;=0.5,"C","D"))))</x:f>
        <x:v>NEW</x:v>
      </x:c>
      <x:c r="P144" s="22" t="n">
        <x:v>0</x:v>
      </x:c>
      <x:c r="Q144" s="24"/>
      <x:c r="R144" s="24"/>
      <x:c r="S144" s="22" t="str">
        <x:v>原問：特許協力条約に基づく国際出願に関し、次のうち、誤っているものは、どれか。</x:v>
      </x:c>
    </x:row>
    <x:row r="145">
      <x:c r="A145" s="22" t="str">
        <x:v>R02-TR02-2</x:v>
      </x:c>
      <x:c r="B145" s="22" t="str">
        <x:v>条約</x:v>
      </x:c>
      <x:c r="C145" s="22" t="str">
        <x:v>特許協力条約に基づく国際出願</x:v>
      </x:c>
      <x:c r="D145" s="22" t="str">
        <x:v>特許協力条約に基づく国際出願／2</x:v>
      </x:c>
      <x:c r="E145" s="22" t="str">
        <x:v>○×</x:v>
      </x:c>
      <x:c r="F145" s="22" t="str">
        <x:v>出願人が、補充国際調査を管轄する国際調査機関により補充国際調査がなされることを請求する場合、補充国際調査を行う国際調査機関は、出願人から、当該調査の実施に係る手数料（「補充調査手数料」）を徴収する。</x:v>
      </x:c>
      <x:c r="G145" s="22" t="str">
        <x:v>×</x:v>
      </x:c>
      <x:c r="H145" s="22" t="str">
        <x:v>補充国際調査を行う国際調査機関は、出願人に対し、当該調査の実施に係る手数料（「補充調査手数料」）を支払うことを要求することができる（ＰＣＴ規則４５の２．３（ａ））。補充調査手数料は、国際事務局が徴収するものとする（ＰＣＴ規則４５の２．３（ｂ））。これに対して、本枝で「国際調査機関」が徴収するとされている。よって、本枝は誤り。</x:v>
      </x:c>
      <x:c r="I145" s="22" t="str"/>
      <x:c r="J145" s="22" t="str"/>
      <x:c r="K145" s="22" t="str">
        <x:v>令和2年度短答（TAC過去問）／【条約】2 2／スライド240</x:v>
      </x:c>
      <x:c r="L145" s="22" t="n">
        <x:v>0</x:v>
      </x:c>
      <x:c r="M145" s="22" t="n">
        <x:v>0</x:v>
      </x:c>
      <x:c r="N145" s="23" t="str">
        <x:f>IF(SUM(L145:M145)=0,"",L145/SUM(L145:M145))</x:f>
      </x:c>
      <x:c r="O145" s="22" t="str">
        <x:f>IF(SUM(L145:M145)=0,"NEW",IF(N145&gt;=0.9,"A",IF(N145&gt;=0.75,"B",IF(N145&gt;=0.5,"C","D"))))</x:f>
        <x:v>NEW</x:v>
      </x:c>
      <x:c r="P145" s="22" t="n">
        <x:v>0</x:v>
      </x:c>
      <x:c r="Q145" s="24"/>
      <x:c r="R145" s="24"/>
      <x:c r="S145" s="22" t="str">
        <x:v>原問：特許協力条約に基づく国際出願に関し、次のうち、誤っているものは、どれか。</x:v>
      </x:c>
    </x:row>
    <x:row r="146">
      <x:c r="A146" s="22" t="str">
        <x:v>R02-TR02-3</x:v>
      </x:c>
      <x:c r="B146" s="22" t="str">
        <x:v>条約</x:v>
      </x:c>
      <x:c r="C146" s="22" t="str">
        <x:v>特許協力条約に基づく国際出願</x:v>
      </x:c>
      <x:c r="D146" s="22" t="str">
        <x:v>特許協力条約に基づく国際出願／3</x:v>
      </x:c>
      <x:c r="E146" s="22" t="str">
        <x:v>○×</x:v>
      </x:c>
      <x:c r="F146" s="22" t="str">
        <x:v>国際調査は、可能かつ合理的である限り、請求の範囲に含まれる事項の全体又は補正後の請求の範囲に含まれるであろうと合理的に予測される事項の全体について行う。</x:v>
      </x:c>
      <x:c r="G146" s="22" t="str">
        <x:v>○</x:v>
      </x:c>
      <x:c r="H146" s="22" t="str">
        <x:v>国際調査は、可能かつ合理的である限り、請求の範囲に含まれる事項の全体又は補正後の請求の範囲に含まれるであろうと合理的に予測される事項の全体について行う（ＰＣＴ規則３３．３（ｂ））。よって、本枝は正しい。
各指定国において国際出願が補正されたときにも、国際調査報告が役に立つようにとの配慮から設けられた。これは、指定官庁にとっては、特に望まれることであるし、国際調査報告の性格から当然のことであろう。その程度は、国際調査機関が可能で合理的と考える範囲に限られる（特許協力条約逐条解説）。</x:v>
      </x:c>
      <x:c r="I146" s="22" t="str"/>
      <x:c r="J146" s="22" t="str"/>
      <x:c r="K146" s="22" t="str">
        <x:v>令和2年度短答（TAC過去問）／【条約】2 3／スライド241</x:v>
      </x:c>
      <x:c r="L146" s="22" t="n">
        <x:v>0</x:v>
      </x:c>
      <x:c r="M146" s="22" t="n">
        <x:v>0</x:v>
      </x:c>
      <x:c r="N146" s="23" t="str">
        <x:f>IF(SUM(L146:M146)=0,"",L146/SUM(L146:M146))</x:f>
      </x:c>
      <x:c r="O146" s="22" t="str">
        <x:f>IF(SUM(L146:M146)=0,"NEW",IF(N146&gt;=0.9,"A",IF(N146&gt;=0.75,"B",IF(N146&gt;=0.5,"C","D"))))</x:f>
        <x:v>NEW</x:v>
      </x:c>
      <x:c r="P146" s="22" t="n">
        <x:v>0</x:v>
      </x:c>
      <x:c r="Q146" s="24"/>
      <x:c r="R146" s="24"/>
      <x:c r="S146" s="22" t="str">
        <x:v>原問：特許協力条約に基づく国際出願に関し、次のうち、誤っているものは、どれか。</x:v>
      </x:c>
    </x:row>
    <x:row r="147">
      <x:c r="A147" s="22" t="str">
        <x:v>R02-TR02-4</x:v>
      </x:c>
      <x:c r="B147" s="22" t="str">
        <x:v>条約</x:v>
      </x:c>
      <x:c r="C147" s="22" t="str">
        <x:v>特許協力条約に基づく国際出願</x:v>
      </x:c>
      <x:c r="D147" s="22" t="str">
        <x:v>特許協力条約に基づく国際出願／4</x:v>
      </x:c>
      <x:c r="E147" s="22" t="str">
        <x:v>○×</x:v>
      </x:c>
      <x:c r="F147" s="22" t="str">
        <x:v>出願人は、条約第１９条の規定に基づく補正をする場合には、出願時における国際出願中の補正の根拠の表示を記載した書簡を提出する。</x:v>
      </x:c>
      <x:c r="G147" s="22" t="str">
        <x:v>○</x:v>
      </x:c>
      <x:c r="H147" s="22" t="str">
        <x:v>出願人は、ＰＣＴ１９条の規定に基づく補正をする場合には、最初に提出したすべての請求の範囲と差し替えるために、完全な一式の請求の範囲を含む差替え用紙を提出しなければならない（ＰＣＴ規則４６．５（ａ））。差替え用紙には、「出願時における国際出願中の補正の根拠の表示」を記載した書簡を添付する（ＰＣＴ規則４６．５（ｂ）（ⅲ））。よって、本枝は正しい。
なお、「補正の根拠」とは、国際出願時の明細書、請求の範囲又は図面における補正の基礎となる記載箇所をいう。</x:v>
      </x:c>
      <x:c r="I147" s="22" t="str">
        <x:v>ＰＣＴ１９条</x:v>
      </x:c>
      <x:c r="J147" s="22" t="str"/>
      <x:c r="K147" s="22" t="str">
        <x:v>令和2年度短答（TAC過去問）／【条約】2 4／スライド242</x:v>
      </x:c>
      <x:c r="L147" s="22" t="n">
        <x:v>0</x:v>
      </x:c>
      <x:c r="M147" s="22" t="n">
        <x:v>0</x:v>
      </x:c>
      <x:c r="N147" s="23" t="str">
        <x:f>IF(SUM(L147:M147)=0,"",L147/SUM(L147:M147))</x:f>
      </x:c>
      <x:c r="O147" s="22" t="str">
        <x:f>IF(SUM(L147:M147)=0,"NEW",IF(N147&gt;=0.9,"A",IF(N147&gt;=0.75,"B",IF(N147&gt;=0.5,"C","D"))))</x:f>
        <x:v>NEW</x:v>
      </x:c>
      <x:c r="P147" s="22" t="n">
        <x:v>0</x:v>
      </x:c>
      <x:c r="Q147" s="24"/>
      <x:c r="R147" s="24"/>
      <x:c r="S147" s="22" t="str">
        <x:v>原問：特許協力条約に基づく国際出願に関し、次のうち、誤っているものは、どれか。</x:v>
      </x:c>
    </x:row>
    <x:row r="148">
      <x:c r="A148" s="22" t="str">
        <x:v>R02-TR02-5</x:v>
      </x:c>
      <x:c r="B148" s="22" t="str">
        <x:v>条約</x:v>
      </x:c>
      <x:c r="C148" s="22" t="str">
        <x:v>特許協力条約に基づく国際出願</x:v>
      </x:c>
      <x:c r="D148" s="22" t="str">
        <x:v>特許協力条約に基づく国際出願／5</x:v>
      </x:c>
      <x:c r="E148" s="22" t="str">
        <x:v>○×</x:v>
      </x:c>
      <x:c r="F148" s="22" t="str">
        <x:v>図面には、不可欠な場合における「水」、「蒸気」、「開」、「閉」、「ＡＢの切断面」等の単語又は語句並びに電気回路、ブロックダイヤグラム及び工程図表の場合における理解のために不可欠な表示のための短い語句を除くほか、文言を記載してはならないと規定されている。</x:v>
      </x:c>
      <x:c r="G148" s="22" t="str">
        <x:v>○</x:v>
      </x:c>
      <x:c r="H148" s="22" t="str">
        <x:v>図面には、不可欠な場合における「水」、「蒸気」、「開」、「閉」、「ＡＢの切断面」等の単語又は語句並びに電気回路、ブロックダイヤグラム及び工程図表の場合における理解のために不可欠な表示のための短い語句を除くほか、「文言を記載してはならない」とＰＣＴ規則１１．１１（ａ）に規定されている。よって、本枝は正しい。</x:v>
      </x:c>
      <x:c r="I148" s="22" t="str"/>
      <x:c r="J148" s="22" t="str"/>
      <x:c r="K148" s="22" t="str">
        <x:v>令和2年度短答（TAC過去問）／【条約】2 5／スライド243</x:v>
      </x:c>
      <x:c r="L148" s="22" t="n">
        <x:v>0</x:v>
      </x:c>
      <x:c r="M148" s="22" t="n">
        <x:v>0</x:v>
      </x:c>
      <x:c r="N148" s="23" t="str">
        <x:f>IF(SUM(L148:M148)=0,"",L148/SUM(L148:M148))</x:f>
      </x:c>
      <x:c r="O148" s="22" t="str">
        <x:f>IF(SUM(L148:M148)=0,"NEW",IF(N148&gt;=0.9,"A",IF(N148&gt;=0.75,"B",IF(N148&gt;=0.5,"C","D"))))</x:f>
        <x:v>NEW</x:v>
      </x:c>
      <x:c r="P148" s="22" t="n">
        <x:v>0</x:v>
      </x:c>
      <x:c r="Q148" s="24"/>
      <x:c r="R148" s="24"/>
      <x:c r="S148" s="22" t="str">
        <x:v>原問：特許協力条約に基づく国際出願に関し、次のうち、誤っているものは、どれか。</x:v>
      </x:c>
    </x:row>
    <x:row r="149">
      <x:c r="A149" s="22" t="str">
        <x:v>R02-TR03-イ</x:v>
      </x:c>
      <x:c r="B149" s="22" t="str">
        <x:v>条約</x:v>
      </x:c>
      <x:c r="C149" s="22" t="str">
        <x:v>特許協力条約に基づく国際出願</x:v>
      </x:c>
      <x:c r="D149" s="22" t="str">
        <x:v>特許協力条約に基づく国際出願／（イ）</x:v>
      </x:c>
      <x:c r="E149" s="22" t="str">
        <x:v>○×</x:v>
      </x:c>
      <x:c r="F149" s="22" t="str">
        <x:v>国際予備審査の請求については、国際出願の出願人は、国際事務局のための取扱手数料及び国際予備審査機関が要求する予備審査手数料の両方を、当該国際予備審査機関に支払う。</x:v>
      </x:c>
      <x:c r="G149" s="22" t="str">
        <x:v>○</x:v>
      </x:c>
      <x:c r="H149" s="22" t="str">
        <x:v>各国際予備審査の請求については、当該請求が提出される国際予備審査機関が徴収する国際事務局のための手数料（「取扱手数料」）を支払わなければならない（ＰＣＴ規則５７．１）。各国際予備審査機関は、出願人に対し、予備審査手数料を支払うことを要求することができる（ＰＣＴ規則５８．１（ａ））。予備審査手数料は、国際予備審査機関に直接に支払う（ＰＣＴ規則５８．１（ｃ））。よって、本枝は正しい。
ｃｆ.補充国際調査手数料は国際調査機関が要求でき、国際事務局が徴収する。</x:v>
      </x:c>
      <x:c r="I149" s="22" t="str"/>
      <x:c r="J149" s="22" t="str"/>
      <x:c r="K149" s="22" t="str">
        <x:v>令和2年度短答（TAC過去問）／【条約】3 （イ）／スライド244</x:v>
      </x:c>
      <x:c r="L149" s="22" t="n">
        <x:v>0</x:v>
      </x:c>
      <x:c r="M149" s="22" t="n">
        <x:v>0</x:v>
      </x:c>
      <x:c r="N149" s="23" t="str">
        <x:f>IF(SUM(L149:M149)=0,"",L149/SUM(L149:M149))</x:f>
      </x:c>
      <x:c r="O149" s="22" t="str">
        <x:f>IF(SUM(L149:M149)=0,"NEW",IF(N149&gt;=0.9,"A",IF(N149&gt;=0.75,"B",IF(N149&gt;=0.5,"C","D"))))</x:f>
        <x:v>NEW</x:v>
      </x:c>
      <x:c r="P149" s="22" t="n">
        <x:v>0</x:v>
      </x:c>
      <x:c r="Q149" s="24"/>
      <x:c r="R149" s="24"/>
      <x:c r="S149" s="22" t="str">
        <x:v>原問：特許協力条約に基づく国際出願に関し、次の（イ）～（ホ）のうち、正しいものは、いくつあるか。</x:v>
      </x:c>
    </x:row>
    <x:row r="150">
      <x:c r="A150" s="22" t="str">
        <x:v>R02-TR03-ロ</x:v>
      </x:c>
      <x:c r="B150" s="22" t="str">
        <x:v>条約</x:v>
      </x:c>
      <x:c r="C150" s="22" t="str">
        <x:v>特許協力条約に基づく国際出願</x:v>
      </x:c>
      <x:c r="D150" s="22" t="str">
        <x:v>特許協力条約に基づく国際出願／（ロ）</x:v>
      </x:c>
      <x:c r="E150" s="22" t="str">
        <x:v>○×</x:v>
      </x:c>
      <x:c r="F150" s="22" t="str">
        <x:v>国際出願の出願人は、国際予備審査の請求書の提出の時又は国際予備審査報告が作成されるまでの間、条約第３４条の規定に基づく補正書を提出することができる。</x:v>
      </x:c>
      <x:c r="G150" s="22" t="str">
        <x:v>○</x:v>
      </x:c>
      <x:c r="H150" s="22" t="str">
        <x:v>出願人は、「国際予備審査の請求書の提出の時又はＰＣＴ規則６６．４の２の規定に従うことを条件として国際予備審査報告が作成されるまでの間」、ＰＣＴ３４条の規定に基づく補正書を提出することができる（ＰＣＴ規則６６．１（ｂ））。よって、本枝は正しい。</x:v>
      </x:c>
      <x:c r="I150" s="22" t="str">
        <x:v>ＰＣＴ３４条</x:v>
      </x:c>
      <x:c r="J150" s="22" t="str"/>
      <x:c r="K150" s="22" t="str">
        <x:v>令和2年度短答（TAC過去問）／【条約】3 （ロ）／スライド245</x:v>
      </x:c>
      <x:c r="L150" s="22" t="n">
        <x:v>0</x:v>
      </x:c>
      <x:c r="M150" s="22" t="n">
        <x:v>0</x:v>
      </x:c>
      <x:c r="N150" s="23" t="str">
        <x:f>IF(SUM(L150:M150)=0,"",L150/SUM(L150:M150))</x:f>
      </x:c>
      <x:c r="O150" s="22" t="str">
        <x:f>IF(SUM(L150:M150)=0,"NEW",IF(N150&gt;=0.9,"A",IF(N150&gt;=0.75,"B",IF(N150&gt;=0.5,"C","D"))))</x:f>
        <x:v>NEW</x:v>
      </x:c>
      <x:c r="P150" s="22" t="n">
        <x:v>0</x:v>
      </x:c>
      <x:c r="Q150" s="24"/>
      <x:c r="R150" s="24"/>
      <x:c r="S150" s="22" t="str">
        <x:v>原問：特許協力条約に基づく国際出願に関し、次の（イ）～（ホ）のうち、正しいものは、いくつあるか。</x:v>
      </x:c>
    </x:row>
    <x:row r="151">
      <x:c r="A151" s="22" t="str">
        <x:v>R02-TR03-ハ</x:v>
      </x:c>
      <x:c r="B151" s="22" t="str">
        <x:v>条約</x:v>
      </x:c>
      <x:c r="C151" s="22" t="str">
        <x:v>特許協力条約に基づく国際出願</x:v>
      </x:c>
      <x:c r="D151" s="22" t="str">
        <x:v>特許協力条約に基づく国際出願／（ハ）</x:v>
      </x:c>
      <x:c r="E151" s="22" t="str">
        <x:v>○×</x:v>
      </x:c>
      <x:c r="F151" s="22" t="str">
        <x:v>国際予備審査に当たっては、請求の範囲に記載されている発明は、規則に定義する先行技術のうちに該当するものがない場合には、新規性を有するものとする。</x:v>
      </x:c>
      <x:c r="G151" s="22" t="str">
        <x:v>○</x:v>
      </x:c>
      <x:c r="H151" s="22" t="str">
        <x:v>国際予備審査に当たっては、請求の範囲に記載されている発明は、規則に定義する先行技術（世界のいずれかの場所において手段のいかんを問わず公衆が利用することができるようにされているすべてのもの（規則６４．１（ａ）））のうちに該当するものがない場合には、新規性を有するものとする（ＰＣＴ３３条（２））。よって、本枝は正しい。</x:v>
      </x:c>
      <x:c r="I151" s="22" t="str">
        <x:v>ＰＣＴ３３条（２）</x:v>
      </x:c>
      <x:c r="J151" s="22" t="str"/>
      <x:c r="K151" s="22" t="str">
        <x:v>令和2年度短答（TAC過去問）／【条約】3 （ハ）／スライド246</x:v>
      </x:c>
      <x:c r="L151" s="22" t="n">
        <x:v>0</x:v>
      </x:c>
      <x:c r="M151" s="22" t="n">
        <x:v>0</x:v>
      </x:c>
      <x:c r="N151" s="23" t="str">
        <x:f>IF(SUM(L151:M151)=0,"",L151/SUM(L151:M151))</x:f>
      </x:c>
      <x:c r="O151" s="22" t="str">
        <x:f>IF(SUM(L151:M151)=0,"NEW",IF(N151&gt;=0.9,"A",IF(N151&gt;=0.75,"B",IF(N151&gt;=0.5,"C","D"))))</x:f>
        <x:v>NEW</x:v>
      </x:c>
      <x:c r="P151" s="22" t="n">
        <x:v>0</x:v>
      </x:c>
      <x:c r="Q151" s="24"/>
      <x:c r="R151" s="24"/>
      <x:c r="S151" s="22" t="str">
        <x:v>原問：特許協力条約に基づく国際出願に関し、次の（イ）～（ホ）のうち、正しいものは、いくつあるか。</x:v>
      </x:c>
    </x:row>
    <x:row r="152">
      <x:c r="A152" s="22" t="str">
        <x:v>R02-TR03-ニ</x:v>
      </x:c>
      <x:c r="B152" s="22" t="str">
        <x:v>条約</x:v>
      </x:c>
      <x:c r="C152" s="22" t="str">
        <x:v>特許協力条約に基づく国際出願</x:v>
      </x:c>
      <x:c r="D152" s="22" t="str">
        <x:v>特許協力条約に基づく国際出願／（ニ）</x:v>
      </x:c>
      <x:c r="E152" s="22" t="str">
        <x:v>○×</x:v>
      </x:c>
      <x:c r="F152" s="22" t="str">
        <x:v>国際予備審査報告を作成するための期間は、優先日から３０月、国際予備審査の開始の時から６月、又は、規則の規定に従って提出された翻訳文を国際予備審査機関が受理した日から６月のうち、最も遅く満了する期間とする。</x:v>
      </x:c>
      <x:c r="G152" s="22" t="str">
        <x:v>×</x:v>
      </x:c>
      <x:c r="H152" s="22" t="str">
        <x:v>国際予備審査報告を作成するための期間は、（ｉ）「優先日から２８箇月」、（∵国内段階に入る期間が３０ヶ月であることから）（ⅱ）国際予備審査の開始の時から６箇月、又は（ⅲ）ＰＣＴ規則５５．２の規定に従って提出された翻訳文を国際予備審査機関が受理した日から６箇月のうち「最も遅く満了する期間」とする（ＰＣＴ規則６９．２）。これに対して、本枝では（ｉ）の期間が優先日から「３０月」とされている。よって、本枝は誤り。</x:v>
      </x:c>
      <x:c r="I152" s="22" t="str"/>
      <x:c r="J152" s="22" t="str"/>
      <x:c r="K152" s="22" t="str">
        <x:v>令和2年度短答（TAC過去問）／【条約】3 （ニ）／スライド247</x:v>
      </x:c>
      <x:c r="L152" s="22" t="n">
        <x:v>0</x:v>
      </x:c>
      <x:c r="M152" s="22" t="n">
        <x:v>0</x:v>
      </x:c>
      <x:c r="N152" s="23" t="str">
        <x:f>IF(SUM(L152:M152)=0,"",L152/SUM(L152:M152))</x:f>
      </x:c>
      <x:c r="O152" s="22" t="str">
        <x:f>IF(SUM(L152:M152)=0,"NEW",IF(N152&gt;=0.9,"A",IF(N152&gt;=0.75,"B",IF(N152&gt;=0.5,"C","D"))))</x:f>
        <x:v>NEW</x:v>
      </x:c>
      <x:c r="P152" s="22" t="n">
        <x:v>0</x:v>
      </x:c>
      <x:c r="Q152" s="24"/>
      <x:c r="R152" s="24"/>
      <x:c r="S152" s="22" t="str">
        <x:v>原問：特許協力条約に基づく国際出願に関し、次の（イ）～（ホ）のうち、正しいものは、いくつあるか。</x:v>
      </x:c>
    </x:row>
    <x:row r="153">
      <x:c r="A153" s="22" t="str">
        <x:v>R02-TR03-ホ</x:v>
      </x:c>
      <x:c r="B153" s="22" t="str">
        <x:v>条約</x:v>
      </x:c>
      <x:c r="C153" s="22" t="str">
        <x:v>特許協力条約に基づく国際出願</x:v>
      </x:c>
      <x:c r="D153" s="22" t="str">
        <x:v>特許協力条約に基づく国際出願／（ホ）</x:v>
      </x:c>
      <x:c r="E153" s="22" t="str">
        <x:v>○×</x:v>
      </x:c>
      <x:c r="F153" s="22" t="str">
        <x:v>国際予備審査報告は、国際予備審査機関が国際事務局に送付し、国際事務局が出願人及び各選択官庁に送達する。</x:v>
      </x:c>
      <x:c r="G153" s="22" t="str">
        <x:v>×</x:v>
      </x:c>
      <x:c r="H153" s="22" t="str">
        <x:v>国際予備審査報告は、所定の附属書類とともに「出願人及び国際事務局に送付」する【ＰＣＴ３６条（１）】。具体的には、「国際予備審査機関は」、国際予備審査報告及び、該当する場合には、附属書類を「国際事務局及び出願人に」各一通同一の日に送付する【ＰＣＴ規則７１．１（ａ）】。
また、国際予備審査報告は、所定の翻訳文及び原語の附属書類とともに、「国際事務局が各選択官庁に送達する」【ＰＣＴ３６条（３）（ａ）】。具体的には、国際予備審査報告が、規則７１．１の規定に基づき既に国際事務局に送付されている場合には、当該選択官庁に対し第３６条（３）（ａ）に規定する送達を速やかに行う【ＰＣＴ規則７３．２（ｂ）（ⅰ）】。
従って、国際事務局は、国際予備審査報告を、各選択官庁に対して送達することはあるが、出願人に送達することはない。これに対して、本枝では「国際事務局」が出願人に送達するとされている。よって、本枝は誤り。</x:v>
      </x:c>
      <x:c r="I153" s="22" t="str">
        <x:v>ＰＣＴ３６条（１）、ＰＣＴ３６条（３）</x:v>
      </x:c>
      <x:c r="J153" s="22" t="str"/>
      <x:c r="K153" s="22" t="str">
        <x:v>令和2年度短答（TAC過去問）／【条約】3 （ホ）／スライド248-249</x:v>
      </x:c>
      <x:c r="L153" s="22" t="n">
        <x:v>0</x:v>
      </x:c>
      <x:c r="M153" s="22" t="n">
        <x:v>0</x:v>
      </x:c>
      <x:c r="N153" s="23" t="str">
        <x:f>IF(SUM(L153:M153)=0,"",L153/SUM(L153:M153))</x:f>
      </x:c>
      <x:c r="O153" s="22" t="str">
        <x:f>IF(SUM(L153:M153)=0,"NEW",IF(N153&gt;=0.9,"A",IF(N153&gt;=0.75,"B",IF(N153&gt;=0.5,"C","D"))))</x:f>
        <x:v>NEW</x:v>
      </x:c>
      <x:c r="P153" s="22" t="n">
        <x:v>0</x:v>
      </x:c>
      <x:c r="Q153" s="24"/>
      <x:c r="R153" s="24"/>
      <x:c r="S153" s="22" t="str">
        <x:v>原問：特許協力条約に基づく国際出願に関し、次の（イ）～（ホ）のうち、正しいものは、いくつあるか。</x:v>
      </x:c>
    </x:row>
    <x:row r="154">
      <x:c r="A154" s="22" t="str">
        <x:v>R02-TR04-2</x:v>
      </x:c>
      <x:c r="B154" s="22" t="str">
        <x:v>条約</x:v>
      </x:c>
      <x:c r="C154" s="22" t="str">
        <x:v>特許協力条約に基づく国際出願</x:v>
      </x:c>
      <x:c r="D154" s="22" t="str">
        <x:v>特許協力条約に基づく国際出願／2</x:v>
      </x:c>
      <x:c r="E154" s="22" t="str">
        <x:v>○×</x:v>
      </x:c>
      <x:c r="F154" s="22" t="str">
        <x:v>出願人は、明細書又は図面を補正する場合には、いかなるときも、補正のため、先に提出した用紙と異なる国際出願のすべての用紙について差替え用紙を提出しなければならない。</x:v>
      </x:c>
      <x:c r="G154" s="22" t="str">
        <x:v>×</x:v>
      </x:c>
      <x:c r="H154" s="22" t="str">
        <x:v>「規則６６．８（ｂ）の規定が適用される場合を除くほか」、出願人は、明細書又は図面を補正する場合には、補正のため、先に提出した用紙と異なる国際出願の「すべての用紙について」差替え用紙を提出しなければならない【ＰＣＴ規則６６．８（ａ）】。
すなわち、補正が一部の箇所の削除又は軽微な訂正若しくは追加である場合には、国際出願の関係する用紙の明瞭さ及び直接複製に悪影響を及ぼさないことを条件として、「その用紙の写しに訂正又は追加をしたものを差替え用紙とすること」ができる【ＰＣＴ規則６６．８（ｂ）】。
従って、いかなるときも、先に提出した用紙と異なる国際出願のすべての用紙について差替え用紙を提出しなければならないものではない。よって、誤り。</x:v>
      </x:c>
      <x:c r="I154" s="22" t="str"/>
      <x:c r="J154" s="22" t="str"/>
      <x:c r="K154" s="22" t="str">
        <x:v>令和2年度短答（TAC過去問）／【条約】4 2／スライド251</x:v>
      </x:c>
      <x:c r="L154" s="22" t="n">
        <x:v>0</x:v>
      </x:c>
      <x:c r="M154" s="22" t="n">
        <x:v>0</x:v>
      </x:c>
      <x:c r="N154" s="23" t="str">
        <x:f>IF(SUM(L154:M154)=0,"",L154/SUM(L154:M154))</x:f>
      </x:c>
      <x:c r="O154" s="22" t="str">
        <x:f>IF(SUM(L154:M154)=0,"NEW",IF(N154&gt;=0.9,"A",IF(N154&gt;=0.75,"B",IF(N154&gt;=0.5,"C","D"))))</x:f>
        <x:v>NEW</x:v>
      </x:c>
      <x:c r="P154" s="22" t="n">
        <x:v>0</x:v>
      </x:c>
      <x:c r="Q154" s="24"/>
      <x:c r="R154" s="24"/>
      <x:c r="S154" s="22" t="str">
        <x:v>原問：特許協力条約に基づく国際出願に関し、次のうち、正しいものは、どれか。</x:v>
      </x:c>
    </x:row>
    <x:row r="155">
      <x:c r="A155" s="22" t="str">
        <x:v>R02-TR04-3</x:v>
      </x:c>
      <x:c r="B155" s="22" t="str">
        <x:v>条約</x:v>
      </x:c>
      <x:c r="C155" s="22" t="str">
        <x:v>特許協力条約に基づく国際出願</x:v>
      </x:c>
      <x:c r="D155" s="22" t="str">
        <x:v>特許協力条約に基づく国際出願／3</x:v>
      </x:c>
      <x:c r="E155" s="22" t="str">
        <x:v>○×</x:v>
      </x:c>
      <x:c r="F155" s="22" t="str">
        <x:v>国際予備審査機関は、国際予備審査の請求書、所定の手数料の支払うべき額の全額（所定の後払手数料を含む。）、国際調査報告及び、国際調査機関の書面による見解を全て受領しても、出願人が明示的に早期の開始を請求した場合を除き、規則に規定する期間の満了前までは、国際予備審査を開始してはならない。</x:v>
      </x:c>
      <x:c r="G155" s="22" t="str">
        <x:v>×</x:v>
      </x:c>
      <x:c r="H155" s="22" t="str">
        <x:v>国際予備審査機関は、（ⅰ）国際予備審査の請求書、（ⅱ）取扱手数料及び予備審査手数料の支払うべき額の全額（該当する場合には、後払手数料を含む。）、（ⅲ）国際調査報告又は第１７条（２）（ａ）に基づき国際調査報告を作成しない旨の国際調査機関による宣言のいずれか及び規則４３　の２．１の規定に基づき作成された書面による見解の「全てを受領した場合には、国際予備審査を開始する」。
ただし、「出願人が規則５４の２．１（ａ）に規定する期間（国際予備審査の請求をするための期間）の満了する時まで国際予備審査の開始を延期するよう明示的に請求したとき」は、この限りではない【ＰＣＴ規則６９．１（ａ）】。従って、出願人が規則に規定する国際予備審査請求期間の満了時までの開始の延期を請求した場合を除けば、全てを受領した場合には、特に規則に定める期間の経過を待つ必要なく、国際予備審査を開始することができる。よって、誤り。</x:v>
      </x:c>
      <x:c r="I155" s="22" t="str"/>
      <x:c r="J155" s="22" t="str"/>
      <x:c r="K155" s="22" t="str">
        <x:v>令和2年度短答（TAC過去問）／【条約】4 3／スライド252</x:v>
      </x:c>
      <x:c r="L155" s="22" t="n">
        <x:v>0</x:v>
      </x:c>
      <x:c r="M155" s="22" t="n">
        <x:v>0</x:v>
      </x:c>
      <x:c r="N155" s="23" t="str">
        <x:f>IF(SUM(L155:M155)=0,"",L155/SUM(L155:M155))</x:f>
      </x:c>
      <x:c r="O155" s="22" t="str">
        <x:f>IF(SUM(L155:M155)=0,"NEW",IF(N155&gt;=0.9,"A",IF(N155&gt;=0.75,"B",IF(N155&gt;=0.5,"C","D"))))</x:f>
        <x:v>NEW</x:v>
      </x:c>
      <x:c r="P155" s="22" t="n">
        <x:v>0</x:v>
      </x:c>
      <x:c r="Q155" s="24"/>
      <x:c r="R155" s="24"/>
      <x:c r="S155" s="22" t="str">
        <x:v>原問：特許協力条約に基づく国際出願に関し、次のうち、正しいものは、どれか。</x:v>
      </x:c>
    </x:row>
    <x:row r="156">
      <x:c r="A156" s="22" t="str">
        <x:v>R02-TR04-4</x:v>
      </x:c>
      <x:c r="B156" s="22" t="str">
        <x:v>条約</x:v>
      </x:c>
      <x:c r="C156" s="22" t="str">
        <x:v>特許協力条約に基づく国際出願</x:v>
      </x:c>
      <x:c r="D156" s="22" t="str">
        <x:v>特許協力条約に基づく国際出願／4</x:v>
      </x:c>
      <x:c r="E156" s="22" t="str">
        <x:v>○×</x:v>
      </x:c>
      <x:c r="F156" s="22" t="str">
        <x:v>国際予備審査機関の書面による見解に対する答弁をするための期間は、出願人が期間の満了の前に延長することを請求した場合には、１回に限り延長することができる。</x:v>
      </x:c>
      <x:c r="G156" s="22" t="str">
        <x:v>×</x:v>
      </x:c>
      <x:c r="H156" s="22" t="str">
        <x:v>国際予備審査機関の書面による見解に対する答弁をするための期間は、出願人が期間の満了の前に延長することを請求した場合には、延長することができる【ＰＣＴ規則６６．２（ｅ）】。この延長については、特に１回に限られる旨の規定はない。よって、誤り。</x:v>
      </x:c>
      <x:c r="I156" s="22" t="str"/>
      <x:c r="J156" s="22" t="str"/>
      <x:c r="K156" s="22" t="str">
        <x:v>令和2年度短答（TAC過去問）／【条約】4 4／スライド253</x:v>
      </x:c>
      <x:c r="L156" s="22" t="n">
        <x:v>0</x:v>
      </x:c>
      <x:c r="M156" s="22" t="n">
        <x:v>0</x:v>
      </x:c>
      <x:c r="N156" s="23" t="str">
        <x:f>IF(SUM(L156:M156)=0,"",L156/SUM(L156:M156))</x:f>
      </x:c>
      <x:c r="O156" s="22" t="str">
        <x:f>IF(SUM(L156:M156)=0,"NEW",IF(N156&gt;=0.9,"A",IF(N156&gt;=0.75,"B",IF(N156&gt;=0.5,"C","D"))))</x:f>
        <x:v>NEW</x:v>
      </x:c>
      <x:c r="P156" s="22" t="n">
        <x:v>0</x:v>
      </x:c>
      <x:c r="Q156" s="24"/>
      <x:c r="R156" s="24"/>
      <x:c r="S156" s="22" t="str">
        <x:v>原問：特許協力条約に基づく国際出願に関し、次のうち、正しいものは、どれか。</x:v>
      </x:c>
    </x:row>
    <x:row r="157">
      <x:c r="A157" s="22" t="str">
        <x:v>R02-TR04-5</x:v>
      </x:c>
      <x:c r="B157" s="22" t="str">
        <x:v>条約</x:v>
      </x:c>
      <x:c r="C157" s="22" t="str">
        <x:v>特許協力条約に基づく国際出願</x:v>
      </x:c>
      <x:c r="D157" s="22" t="str">
        <x:v>特許協力条約に基づく国際出願／5</x:v>
      </x:c>
      <x:c r="E157" s="22" t="str">
        <x:v>○×</x:v>
      </x:c>
      <x:c r="F157" s="22" t="str">
        <x:v>選択国が、自国の国内官庁の公用語以外の言語で作成された国際予備審査報告を英語に翻訳することを要求した場合には、国際事務局は、国際予備審査報告の翻訳文の写しを、関係選択官庁に当該翻訳文を送達し、出願人の求めに応じて、出願人に送付する。</x:v>
      </x:c>
      <x:c r="G157" s="22" t="str">
        <x:v>×</x:v>
      </x:c>
      <x:c r="H157" s="22" t="str">
        <x:v>選択国は、自国の国内官庁の公用語以外の言語で作成された国際予備審査報告を英語に翻訳することを要求することができ（ＰＣＴ規則７２．１（ａ））、国際事務局は、この国際予備審査報告の翻訳文の写しを、関係選択官庁に当該翻訳文を送達すると「同時に出願人に送付する」【ＰＣＴ規則７２．２】。
国際事務局の作成した翻訳文に対して出願人にチェックを行わせて、意見を求める（ＰＣＴ規則７２．３）機会を与えるための手続を定めた規程である。
出願人は、誤訳によって不利な取扱いを受けることを未然に防ぎうるであろう。国際出願の国際公開のための翻訳文の取扱いと同趣旨である（特許協力条約逐条解説）。すなわち、出願人の求めがなくても送付される。よって、誤り。</x:v>
      </x:c>
      <x:c r="I157" s="22" t="str"/>
      <x:c r="J157" s="22" t="str"/>
      <x:c r="K157" s="22" t="str">
        <x:v>令和2年度短答（TAC過去問）／【条約】4 5／スライド254</x:v>
      </x:c>
      <x:c r="L157" s="22" t="n">
        <x:v>0</x:v>
      </x:c>
      <x:c r="M157" s="22" t="n">
        <x:v>0</x:v>
      </x:c>
      <x:c r="N157" s="23" t="str">
        <x:f>IF(SUM(L157:M157)=0,"",L157/SUM(L157:M157))</x:f>
      </x:c>
      <x:c r="O157" s="22" t="str">
        <x:f>IF(SUM(L157:M157)=0,"NEW",IF(N157&gt;=0.9,"A",IF(N157&gt;=0.75,"B",IF(N157&gt;=0.5,"C","D"))))</x:f>
        <x:v>NEW</x:v>
      </x:c>
      <x:c r="P157" s="22" t="n">
        <x:v>0</x:v>
      </x:c>
      <x:c r="Q157" s="24"/>
      <x:c r="R157" s="24"/>
      <x:c r="S157" s="22" t="str">
        <x:v>原問：特許協力条約に基づく国際出願に関し、次のうち、正しいものは、どれか。</x:v>
      </x:c>
    </x:row>
    <x:row r="158">
      <x:c r="A158" s="22" t="str">
        <x:v>R02-TR05-1</x:v>
      </x:c>
      <x:c r="B158" s="22" t="str">
        <x:v>条約</x:v>
      </x:c>
      <x:c r="C158" s="22" t="str">
        <x:v>特許協力条約に基づく国際出願</x:v>
      </x:c>
      <x:c r="D158" s="22" t="str">
        <x:v>特許協力条約に基づく国際出願／1</x:v>
      </x:c>
      <x:c r="E158" s="22" t="str">
        <x:v>○×</x:v>
      </x:c>
      <x:c r="F158" s="22" t="str">
        <x:v>２人以上の出願人がある場合において、すべての出願人を代理する代理人を選任せず、共通の代表者をも選任しなかったときは、受理官庁に国際出願をする資格を有する出願人のうち願書に最初に記載された出願人がすべての出願人の共通の代表者とみなされる。</x:v>
      </x:c>
      <x:c r="G158" s="22" t="str">
        <x:v>○</x:v>
      </x:c>
      <x:c r="H158" s="22" t="str">
        <x:v>２人以上の出願人がある場合において、すべての出願人が共通の代理人又は共通の代表者を選任しなかったときは、受理官庁に国際出願をする資格を有する出願人のうち願書に最初に記載されている出願人をすべての出願人の共通の代表者とみなす（ＰＣＴ規則９０．２（ｂ））。よって、本枝は正しい。</x:v>
      </x:c>
      <x:c r="I158" s="22" t="str"/>
      <x:c r="J158" s="22" t="str"/>
      <x:c r="K158" s="22" t="str">
        <x:v>令和2年度短答（TAC過去問）／【条約】5 1／スライド255</x:v>
      </x:c>
      <x:c r="L158" s="22" t="n">
        <x:v>0</x:v>
      </x:c>
      <x:c r="M158" s="22" t="n">
        <x:v>0</x:v>
      </x:c>
      <x:c r="N158" s="23" t="str">
        <x:f>IF(SUM(L158:M158)=0,"",L158/SUM(L158:M158))</x:f>
      </x:c>
      <x:c r="O158" s="22" t="str">
        <x:f>IF(SUM(L158:M158)=0,"NEW",IF(N158&gt;=0.9,"A",IF(N158&gt;=0.75,"B",IF(N158&gt;=0.5,"C","D"))))</x:f>
        <x:v>NEW</x:v>
      </x:c>
      <x:c r="P158" s="22" t="n">
        <x:v>0</x:v>
      </x:c>
      <x:c r="Q158" s="24"/>
      <x:c r="R158" s="24"/>
      <x:c r="S158" s="22" t="str">
        <x:v>原問：特許協力条約に基づく国際出願に関し、次のうち、誤っているものは、どれか。</x:v>
      </x:c>
    </x:row>
    <x:row r="159">
      <x:c r="A159" s="22" t="str">
        <x:v>R02-TR05-2</x:v>
      </x:c>
      <x:c r="B159" s="22" t="str">
        <x:v>条約</x:v>
      </x:c>
      <x:c r="C159" s="22" t="str">
        <x:v>特許協力条約に基づく国際出願</x:v>
      </x:c>
      <x:c r="D159" s="22" t="str">
        <x:v>特許協力条約に基づく国際出願／2</x:v>
      </x:c>
      <x:c r="E159" s="22" t="str">
        <x:v>○×</x:v>
      </x:c>
      <x:c r="F159" s="22" t="str">
        <x:v>国際出願の取下げは、出願人の選択により国際事務局、受理官庁又は、条約第３９条（１）の規定が適用される場合には、国際予備審査機関に対する出願人の通告の受領の時に効力を生ずる。</x:v>
      </x:c>
      <x:c r="G159" s="22" t="str">
        <x:v>○</x:v>
      </x:c>
      <x:c r="H159" s="22" t="str">
        <x:v>国際出願の取下げは、出願人の選択により国際事務局、受理官庁又は、ＰＣＴ第３９条（１）の規定（選択官庁に対する国際出願の写し及び翻訳文の提出並びに手数料の支払）が適用される場合には、国際予備審査機関に対する出願人からの通告の受領の時に効力を生ずる（ＰＣＴ規則９０の２．１（ｂ））。よって、本枝は正しい。</x:v>
      </x:c>
      <x:c r="I159" s="22" t="str"/>
      <x:c r="J159" s="22" t="str"/>
      <x:c r="K159" s="22" t="str">
        <x:v>令和2年度短答（TAC過去問）／【条約】5 2／スライド256</x:v>
      </x:c>
      <x:c r="L159" s="22" t="n">
        <x:v>0</x:v>
      </x:c>
      <x:c r="M159" s="22" t="n">
        <x:v>0</x:v>
      </x:c>
      <x:c r="N159" s="23" t="str">
        <x:f>IF(SUM(L159:M159)=0,"",L159/SUM(L159:M159))</x:f>
      </x:c>
      <x:c r="O159" s="22" t="str">
        <x:f>IF(SUM(L159:M159)=0,"NEW",IF(N159&gt;=0.9,"A",IF(N159&gt;=0.75,"B",IF(N159&gt;=0.5,"C","D"))))</x:f>
        <x:v>NEW</x:v>
      </x:c>
      <x:c r="P159" s="22" t="n">
        <x:v>0</x:v>
      </x:c>
      <x:c r="Q159" s="24"/>
      <x:c r="R159" s="24"/>
      <x:c r="S159" s="22" t="str">
        <x:v>原問：特許協力条約に基づく国際出願に関し、次のうち、誤っているものは、どれか。</x:v>
      </x:c>
    </x:row>
    <x:row r="160">
      <x:c r="A160" s="22" t="str">
        <x:v>R02-TR05-3</x:v>
      </x:c>
      <x:c r="B160" s="22" t="str">
        <x:v>条約</x:v>
      </x:c>
      <x:c r="C160" s="22" t="str">
        <x:v>特許協力条約に基づく国際出願</x:v>
      </x:c>
      <x:c r="D160" s="22" t="str">
        <x:v>特許協力条約に基づく国際出願／3</x:v>
      </x:c>
      <x:c r="E160" s="22" t="str">
        <x:v>○×</x:v>
      </x:c>
      <x:c r="F160" s="22" t="str">
        <x:v>国内特許及び広域特許の双方を受けるために国を指定した場合、その国の指定の取下げは、別段の表示がある場合を除くほか、国内特許及び広域特許の双方の取下げを意味するものと扱われる。</x:v>
      </x:c>
      <x:c r="G160" s="22" t="str">
        <x:v>×</x:v>
      </x:c>
      <x:c r="H160" s="22" t="str">
        <x:v>国内特許及び広域特許の双方を受けるために国を指定した場合には、その国の指定の取下げは、別段の表示がある場合を除くほか、国内特許を受けるための指定のみの取下げを意味するものとする（ＰＣＴ規則９０の２．２（ｂ））。
ＰＣＴでは、同一国について国内官庁による国内特許ルートと、広域官庁による広域特許ルートが併存し得る。そのため、国内・広域双方を求めている国の「指定の取下げ」は、別段の表示がなければ国内特許を受けるための指定だけの取下げと扱われ、広域特許ルートは残ることになる。すなわち、両方を取り下げるには、その意思を明示する必要がある。
これに対して、本枝では、「国内特許及び広域特許の双方の取下げを意味するものと扱われる」とされている。よって、本枝は誤り。</x:v>
      </x:c>
      <x:c r="I160" s="22" t="str"/>
      <x:c r="J160" s="22" t="str"/>
      <x:c r="K160" s="22" t="str">
        <x:v>令和2年度短答（TAC過去問）／【条約】5 3／スライド257</x:v>
      </x:c>
      <x:c r="L160" s="22" t="n">
        <x:v>0</x:v>
      </x:c>
      <x:c r="M160" s="22" t="n">
        <x:v>0</x:v>
      </x:c>
      <x:c r="N160" s="23" t="str">
        <x:f>IF(SUM(L160:M160)=0,"",L160/SUM(L160:M160))</x:f>
      </x:c>
      <x:c r="O160" s="22" t="str">
        <x:f>IF(SUM(L160:M160)=0,"NEW",IF(N160&gt;=0.9,"A",IF(N160&gt;=0.75,"B",IF(N160&gt;=0.5,"C","D"))))</x:f>
        <x:v>NEW</x:v>
      </x:c>
      <x:c r="P160" s="22" t="n">
        <x:v>0</x:v>
      </x:c>
      <x:c r="Q160" s="24"/>
      <x:c r="R160" s="24"/>
      <x:c r="S160" s="22" t="str">
        <x:v>原問：特許協力条約に基づく国際出願に関し、次のうち、誤っているものは、どれか。</x:v>
      </x:c>
    </x:row>
    <x:row r="161">
      <x:c r="A161" s="22" t="str">
        <x:v>R02-TR05-4</x:v>
      </x:c>
      <x:c r="B161" s="22" t="str">
        <x:v>条約</x:v>
      </x:c>
      <x:c r="C161" s="22" t="str">
        <x:v>特許協力条約に基づく国際出願</x:v>
      </x:c>
      <x:c r="D161" s="22" t="str">
        <x:v>特許協力条約に基づく国際出願／4</x:v>
      </x:c>
      <x:c r="E161" s="22" t="str">
        <x:v>○×</x:v>
      </x:c>
      <x:c r="F161" s="22" t="str">
        <x:v>すべての指定国の指定の取下げは、国際出願の取下げとみなされる。</x:v>
      </x:c>
      <x:c r="G161" s="22" t="str">
        <x:v>○</x:v>
      </x:c>
      <x:c r="H161" s="22" t="str">
        <x:v>すべての指定国の指定の取下げは、ＰＣＴ規則９０の２．１の規定に基づく国際出願の取下げとみなす（ＰＣＴ規則９０の２．２（ｃ））。よって、本枝は正しい。</x:v>
      </x:c>
      <x:c r="I161" s="22" t="str"/>
      <x:c r="J161" s="22" t="str"/>
      <x:c r="K161" s="22" t="str">
        <x:v>令和2年度短答（TAC過去問）／【条約】5 4／スライド258</x:v>
      </x:c>
      <x:c r="L161" s="22" t="n">
        <x:v>0</x:v>
      </x:c>
      <x:c r="M161" s="22" t="n">
        <x:v>0</x:v>
      </x:c>
      <x:c r="N161" s="23" t="str">
        <x:f>IF(SUM(L161:M161)=0,"",L161/SUM(L161:M161))</x:f>
      </x:c>
      <x:c r="O161" s="22" t="str">
        <x:f>IF(SUM(L161:M161)=0,"NEW",IF(N161&gt;=0.9,"A",IF(N161&gt;=0.75,"B",IF(N161&gt;=0.5,"C","D"))))</x:f>
        <x:v>NEW</x:v>
      </x:c>
      <x:c r="P161" s="22" t="n">
        <x:v>0</x:v>
      </x:c>
      <x:c r="Q161" s="24"/>
      <x:c r="R161" s="24"/>
      <x:c r="S161" s="22" t="str">
        <x:v>原問：特許協力条約に基づく国際出願に関し、次のうち、誤っているものは、どれか。</x:v>
      </x:c>
    </x:row>
    <x:row r="162">
      <x:c r="A162" s="22" t="str">
        <x:v>R02-TR05-5</x:v>
      </x:c>
      <x:c r="B162" s="22" t="str">
        <x:v>条約</x:v>
      </x:c>
      <x:c r="C162" s="22" t="str">
        <x:v>特許協力条約に基づく国際出願</x:v>
      </x:c>
      <x:c r="D162" s="22" t="str">
        <x:v>特許協力条約に基づく国際出願／5</x:v>
      </x:c>
      <x:c r="E162" s="22" t="str">
        <x:v>○×</x:v>
      </x:c>
      <x:c r="F162" s="22" t="str">
        <x:v>出願人が国際予備審査の請求の取下げの通告を国際予備審査機関に提出した場合には、その国際予備審査機関は、その通告に受理の日付を付して速やかに国際事務局にその通告を送付し、その通告は、付された日付に国際事務局に提出されたものとみなす。</x:v>
      </x:c>
      <x:c r="G162" s="22" t="str">
        <x:v>○</x:v>
      </x:c>
      <x:c r="H162" s="22" t="str">
        <x:v>出願人が取下げの通告を国際予備審査機関に提出した場合には、その国際予備審査機関は、その通告に受理の日付を付して速やかに国際事務局にその通告を送付する。その通告は、付された日付に国際事務局に提出されたものとみなす（ＰＣＴ規則９０の２．４（ｃ））。
国際予備審査請求の取下げは、国際的な手続状態を一元管理する国際事務局への通告が原則である。しかし、出願人が実際に審査を担当している国際予備審査期間へ期限内に提出することも手続としては自然である。そこで国際予備審査期間が受付日を付して国際事務局へ転送し、その受付日に国際事務局へ提出されたものとみなす（「現場ＩＰＥＡで受付、本部ＩＢで管理。転送時間は出願人に負担させない」という建付け）。よって、本枝は正しい。よって、本枝は正しい。</x:v>
      </x:c>
      <x:c r="I162" s="22" t="str"/>
      <x:c r="J162" s="22" t="str"/>
      <x:c r="K162" s="22" t="str">
        <x:v>令和2年度短答（TAC過去問）／【条約】5 5／スライド259</x:v>
      </x:c>
      <x:c r="L162" s="22" t="n">
        <x:v>0</x:v>
      </x:c>
      <x:c r="M162" s="22" t="n">
        <x:v>0</x:v>
      </x:c>
      <x:c r="N162" s="23" t="str">
        <x:f>IF(SUM(L162:M162)=0,"",L162/SUM(L162:M162))</x:f>
      </x:c>
      <x:c r="O162" s="22" t="str">
        <x:f>IF(SUM(L162:M162)=0,"NEW",IF(N162&gt;=0.9,"A",IF(N162&gt;=0.75,"B",IF(N162&gt;=0.5,"C","D"))))</x:f>
        <x:v>NEW</x:v>
      </x:c>
      <x:c r="P162" s="22" t="n">
        <x:v>0</x:v>
      </x:c>
      <x:c r="Q162" s="24"/>
      <x:c r="R162" s="24"/>
      <x:c r="S162" s="22" t="str">
        <x:v>原問：特許協力条約に基づく国際出願に関し、次のうち、誤っているものは、どれか。</x:v>
      </x:c>
    </x:row>
    <x:row r="163">
      <x:c r="A163" s="22" t="str">
        <x:v>R02-TR06-イ</x:v>
      </x:c>
      <x:c r="B163" s="22" t="str">
        <x:v>条約</x:v>
      </x:c>
      <x:c r="C163" s="22" t="str">
        <x:v>意匠の国際登録</x:v>
      </x:c>
      <x:c r="D163" s="22" t="str">
        <x:v>意匠の国際登録／（イ）</x:v>
      </x:c>
      <x:c r="E163" s="22" t="str">
        <x:v>○×</x:v>
      </x:c>
      <x:c r="F163" s="22" t="str">
        <x:v>審査官庁である締約国が、意匠の保護の付与のための出願について自国の法令に基づいて出願日が認められるための要素として、請求の範囲を含むことを要求する旨を、宣言により事務局長に通告している場合、当該締約国において出願日が認められるためには、当該締約国を指定する国際出願に、当該要素を含めることを要する。</x:v>
      </x:c>
      <x:c r="G163" s="22" t="str">
        <x:v>○</x:v>
      </x:c>
      <x:c r="H163" s="22" t="str">
        <x:v>その官庁が審査官庁である締約国であって、自国の法令が意匠の保護の付与のための出願について自国の法令に基づいて出願日が認められるためには、当該出願がジュネーブ改正協定５条（ｂ）に規定する要素のいずれかを含むことをこの改正協定の締約国となる時に要求するものは、宣言により、当該要素について事務局長に通告することができる（同（ａ））。ここで、同（ｂ）（ⅲ）には、請求の範囲が規定されている。
そして、当該要素は、当該締約国がその国内出願に対し国内法令に基づき出願日を認定する際に求めている要件にあたり、当該締約国を指定する場合、必須の記載事項となる（同条２（ｃ））、茶園条約Ｐ．２３３～２３４）。
したがって、審査官庁である締約国が、意匠の保護の付与のための出願について自国の法令に基づいて出願日が認められるための要素として、請求の範囲を含むことを要求する旨を、宣言により事務局長に通告している場合、当該締約国において出願日が認められるためには、当該締約国を指定する国際出願に、当該要素を含めることを要する。よって、本枝は正しい。
なお、日本国においては、ハーグの国際出願が日本を指定し、国際登録された場合、その国際出願は、原則として国際登録の日にされた日本の意匠登録出願とみなされる。</x:v>
      </x:c>
      <x:c r="I163" s="22" t="str"/>
      <x:c r="J163" s="22" t="str"/>
      <x:c r="K163" s="22" t="str">
        <x:v>令和2年度短答（TAC過去問）／【条約】6 （イ）／スライド260-261</x:v>
      </x:c>
      <x:c r="L163" s="22" t="n">
        <x:v>0</x:v>
      </x:c>
      <x:c r="M163" s="22" t="n">
        <x:v>0</x:v>
      </x:c>
      <x:c r="N163" s="23" t="str">
        <x:f>IF(SUM(L163:M163)=0,"",L163/SUM(L163:M163))</x:f>
      </x:c>
      <x:c r="O163" s="22" t="str">
        <x:f>IF(SUM(L163:M163)=0,"NEW",IF(N163&gt;=0.9,"A",IF(N163&gt;=0.75,"B",IF(N163&gt;=0.5,"C","D"))))</x:f>
        <x:v>NEW</x:v>
      </x:c>
      <x:c r="P163" s="22" t="n">
        <x:v>0</x:v>
      </x:c>
      <x:c r="Q163" s="24"/>
      <x:c r="R163" s="24"/>
      <x:c r="S163" s="22" t="str">
        <x:v>原問：意匠の国際登録に関するハーグ協定のジュネーブ改正協定に関し、次の（イ）～（ニ）のうち、正しいものは、いくつあるか。</x:v>
      </x:c>
    </x:row>
    <x:row r="164">
      <x:c r="A164" s="22" t="str">
        <x:v>R02-TR06-ロ</x:v>
      </x:c>
      <x:c r="B164" s="22" t="str">
        <x:v>条約</x:v>
      </x:c>
      <x:c r="C164" s="22" t="str">
        <x:v>意匠の国際登録</x:v>
      </x:c>
      <x:c r="D164" s="22" t="str">
        <x:v>意匠の国際登録／（ロ）</x:v>
      </x:c>
      <x:c r="E164" s="22" t="str">
        <x:v>○×</x:v>
      </x:c>
      <x:c r="F164" s="22" t="str">
        <x:v>国際事務局に直接行った国際出願について、国際出願を受理した日において、出願日の延期を要する所定の不備がある場合には、国際事務局が当該不備の補正を受理した日が出願日となる。</x:v>
      </x:c>
      <x:c r="G164" s="22" t="str">
        <x:v>○</x:v>
      </x:c>
      <x:c r="H164" s="22" t="str">
        <x:v>出願日は、国際出願が「国際事務局に対して直接にされる場合には、第９条（３）の規定が適用される場合を除くほか」、国際事務局が当該国際出願を受理した日とする【ハーグ協定９条（１）】。出願日は、国際事務局が国際出願を受理した日において、当該国際出願に出願日の延期を要する所定の不備がある場合には、「国際事務局が当該不備の補正を受理した日」とする【ハーグ協定９条（３）】。よって、正しい。
なお、間接出願の場合は、出願日は、官庁が国際出願を受理した日である（９条（２）、第１３規則（３））。
ただし、その日から１か月以内に、国際事務局が当該国際出願を受理した場合に限り、１か月を超えた場合は、国際事務局が国際出願を受理した日となる（第１３規則（３））。</x:v>
      </x:c>
      <x:c r="I164" s="22" t="str"/>
      <x:c r="J164" s="22" t="str"/>
      <x:c r="K164" s="22" t="str">
        <x:v>令和2年度短答（TAC過去問）／【条約】6 （ロ）／スライド263</x:v>
      </x:c>
      <x:c r="L164" s="22" t="n">
        <x:v>0</x:v>
      </x:c>
      <x:c r="M164" s="22" t="n">
        <x:v>0</x:v>
      </x:c>
      <x:c r="N164" s="23" t="str">
        <x:f>IF(SUM(L164:M164)=0,"",L164/SUM(L164:M164))</x:f>
      </x:c>
      <x:c r="O164" s="22" t="str">
        <x:f>IF(SUM(L164:M164)=0,"NEW",IF(N164&gt;=0.9,"A",IF(N164&gt;=0.75,"B",IF(N164&gt;=0.5,"C","D"))))</x:f>
        <x:v>NEW</x:v>
      </x:c>
      <x:c r="P164" s="22" t="n">
        <x:v>0</x:v>
      </x:c>
      <x:c r="Q164" s="24"/>
      <x:c r="R164" s="24"/>
      <x:c r="S164" s="22" t="str">
        <x:v>原問：意匠の国際登録に関するハーグ協定のジュネーブ改正協定に関し、次の（イ）～（ニ）のうち、正しいものは、いくつあるか。</x:v>
      </x:c>
    </x:row>
    <x:row r="165">
      <x:c r="A165" s="22" t="str">
        <x:v>R02-TR06-ハ</x:v>
      </x:c>
      <x:c r="B165" s="22" t="str">
        <x:v>条約</x:v>
      </x:c>
      <x:c r="C165" s="22" t="str">
        <x:v>意匠の国際登録</x:v>
      </x:c>
      <x:c r="D165" s="22" t="str">
        <x:v>意匠の国際登録／（ハ）</x:v>
      </x:c>
      <x:c r="E165" s="22" t="str">
        <x:v>○×</x:v>
      </x:c>
      <x:c r="F165" s="22" t="str">
        <x:v>国際出願には、公表の延期についての請求を含めることができる。</x:v>
      </x:c>
      <x:c r="G165" s="22" t="str">
        <x:v>○</x:v>
      </x:c>
      <x:c r="H165" s="22" t="str">
        <x:v>出願人が意匠の公表の延期を「希望する場合には、当該国際出願は公表の延期の請求を含める」【ハーグ協定に基づく共通規則第７規則（５）（ｅ）】。従って、国際出願には、公表の延期についての請求を含めることができる。よって、本枝は正しい。</x:v>
      </x:c>
      <x:c r="I165" s="22" t="str"/>
      <x:c r="J165" s="22" t="str"/>
      <x:c r="K165" s="22" t="str">
        <x:v>令和2年度短答（TAC過去問）／【条約】6 （ハ）／スライド264</x:v>
      </x:c>
      <x:c r="L165" s="22" t="n">
        <x:v>0</x:v>
      </x:c>
      <x:c r="M165" s="22" t="n">
        <x:v>0</x:v>
      </x:c>
      <x:c r="N165" s="23" t="str">
        <x:f>IF(SUM(L165:M165)=0,"",L165/SUM(L165:M165))</x:f>
      </x:c>
      <x:c r="O165" s="22" t="str">
        <x:f>IF(SUM(L165:M165)=0,"NEW",IF(N165&gt;=0.9,"A",IF(N165&gt;=0.75,"B",IF(N165&gt;=0.5,"C","D"))))</x:f>
        <x:v>NEW</x:v>
      </x:c>
      <x:c r="P165" s="22" t="n">
        <x:v>0</x:v>
      </x:c>
      <x:c r="Q165" s="24"/>
      <x:c r="R165" s="24"/>
      <x:c r="S165" s="22" t="str">
        <x:v>原問：意匠の国際登録に関するハーグ協定のジュネーブ改正協定に関し、次の（イ）～（ニ）のうち、正しいものは、いくつあるか。</x:v>
      </x:c>
    </x:row>
    <x:row r="166">
      <x:c r="A166" s="22" t="str">
        <x:v>R02-TR06-ニ</x:v>
      </x:c>
      <x:c r="B166" s="22" t="str">
        <x:v>条約</x:v>
      </x:c>
      <x:c r="C166" s="22" t="str">
        <x:v>意匠の国際登録</x:v>
      </x:c>
      <x:c r="D166" s="22" t="str">
        <x:v>意匠の国際登録／（ニ）</x:v>
      </x:c>
      <x:c r="E166" s="22" t="str">
        <x:v>○×</x:v>
      </x:c>
      <x:c r="F166" s="22" t="str">
        <x:v>国際登録の所有権の変更は、新権利者が国際出願をする資格を有しなくても、認められる。</x:v>
      </x:c>
      <x:c r="G166" s="22" t="str">
        <x:v>×</x:v>
      </x:c>
      <x:c r="H166" s="22" t="str">
        <x:v>国際事務局は、国際登録簿に所定の方法により、指定締約国の一部又は全部及び国際登録の対象である意匠の一部又は全部についての国際登録の所有権の変更を記録する。ただし、新権利者が第３条の規定に基づいて「国際出願をする資格を有する場合に限る」【ハーグ協定１６条（１）（ｉ）】。
資格者が国際登録を取得した後、無資格者へ移転することによって第３条の資格制限が迂回されるのを防ぐためであり、資格とは意匠を受ける権利ではなく、国籍、住所、常居所又は現実かつ真正の営業所による締約国との人的な連結である。
従って、国際登録の所有権の変更は、新権利者が国際出願をする資格を有していなければ認められない。これに対して、本枝では、国際登録の所有権の変更は、「新権利者が国際出願をする資格を有しなくても」、認められる、とされている。よって、本枝は誤り。
なお、これは譲渡契約自体の有効性ではなく、国際登録簿への変更記録の要件である。</x:v>
      </x:c>
      <x:c r="I166" s="22" t="str"/>
      <x:c r="J166" s="22" t="str"/>
      <x:c r="K166" s="22" t="str">
        <x:v>令和2年度短答（TAC過去問）／【条約】6 （ニ）／スライド265</x:v>
      </x:c>
      <x:c r="L166" s="22" t="n">
        <x:v>0</x:v>
      </x:c>
      <x:c r="M166" s="22" t="n">
        <x:v>0</x:v>
      </x:c>
      <x:c r="N166" s="23" t="str">
        <x:f>IF(SUM(L166:M166)=0,"",L166/SUM(L166:M166))</x:f>
      </x:c>
      <x:c r="O166" s="22" t="str">
        <x:f>IF(SUM(L166:M166)=0,"NEW",IF(N166&gt;=0.9,"A",IF(N166&gt;=0.75,"B",IF(N166&gt;=0.5,"C","D"))))</x:f>
        <x:v>NEW</x:v>
      </x:c>
      <x:c r="P166" s="22" t="n">
        <x:v>0</x:v>
      </x:c>
      <x:c r="Q166" s="24"/>
      <x:c r="R166" s="24"/>
      <x:c r="S166" s="22" t="str">
        <x:v>原問：意匠の国際登録に関するハーグ協定のジュネーブ改正協定に関し、次の（イ）～（ニ）のうち、正しいものは、いくつあるか。</x:v>
      </x:c>
    </x:row>
    <x:row r="167">
      <x:c r="A167" s="22" t="str">
        <x:v>R02-TR07-ロ</x:v>
      </x:c>
      <x:c r="B167" s="22" t="str">
        <x:v>条約</x:v>
      </x:c>
      <x:c r="C167" s="22" t="str">
        <x:v>パリ条約のストックホルム改正条約</x:v>
      </x:c>
      <x:c r="D167" s="22" t="str">
        <x:v>パリ条約のストックホルム改正条約／（ロ）</x:v>
      </x:c>
      <x:c r="E167" s="22" t="str">
        <x:v>○×</x:v>
      </x:c>
      <x:c r="F167" s="22" t="str">
        <x:v>各同盟国は、工業所有権に関する法令上必要とされる住所の選定及び代理人の選任を各同盟国の法令において義務付けなければならない。</x:v>
      </x:c>
      <x:c r="G167" s="22" t="str">
        <x:v>×</x:v>
      </x:c>
      <x:c r="H167" s="22" t="str">
        <x:v>司法上及び行政上の手続並びに裁判管轄権については、並びに工業所有権に関する法令上必要とされる住所の選定又は代理人の選任については、「各同盟国の法令の定めるところによる」【パリ２条（３）】。すなわち、工業所有権に関する法令上必要とされる住所の選定又は代理人の選任については、各同盟国の自由に委ねられており、定めるか否かも含めて各国が自由に決めうる。従って、各同盟国の法令において義務付けなければならないわけではない。よって、本枝は誤り。
なお、以下のものについては、各同盟国の法令で定めることができるとしている。司法上及び行政上の手続
⇒　例えば、在外者が民事訴訟を提起する場合の担保の要求
裁判管轄権
⇒　例えば、特許法第１５条は、「在外者の特許権その他特許に関する権利については、特許管理人があるときはその住所又は居所をもつて、特許管理人がないときは特許庁の所在地をもつて民事訴訟法（平成８年法律第１０９号）第５条第４号の財産の所在地とみなす。」としている。
工業所有権に関する法令上必要とされる住所の選定又は代理人の選任
⇒　例えば、特許法第８条は、在外者は国内に特許管理人を置かなければ特許法上の手続をすることができないとしている。</x:v>
      </x:c>
      <x:c r="I167" s="22" t="str">
        <x:v>パリ２条</x:v>
      </x:c>
      <x:c r="J167" s="22" t="str"/>
      <x:c r="K167" s="22" t="str">
        <x:v>令和2年度短答（TAC過去問）／【条約】7 （ロ）／スライド266-267</x:v>
      </x:c>
      <x:c r="L167" s="22" t="n">
        <x:v>0</x:v>
      </x:c>
      <x:c r="M167" s="22" t="n">
        <x:v>0</x:v>
      </x:c>
      <x:c r="N167" s="23" t="str">
        <x:f>IF(SUM(L167:M167)=0,"",L167/SUM(L167:M167))</x:f>
      </x:c>
      <x:c r="O167" s="22" t="str">
        <x:f>IF(SUM(L167:M167)=0,"NEW",IF(N167&gt;=0.9,"A",IF(N167&gt;=0.75,"B",IF(N167&gt;=0.5,"C","D"))))</x:f>
        <x:v>NEW</x:v>
      </x:c>
      <x:c r="P167" s="22" t="n">
        <x:v>0</x:v>
      </x:c>
      <x:c r="Q167" s="24"/>
      <x:c r="R167" s="24"/>
      <x:c r="S167" s="22" t="str">
        <x:v>原問：パリ条約のストックホルム改正条約について、次の（イ）～（ニ）のうち、正しいものは、いくつあるか。</x:v>
      </x:c>
    </x:row>
    <x:row r="168">
      <x:c r="A168" s="22" t="str">
        <x:v>R02-TR07-ハ</x:v>
      </x:c>
      <x:c r="B168" s="22" t="str">
        <x:v>条約</x:v>
      </x:c>
      <x:c r="C168" s="22" t="str">
        <x:v>パリ条約のストックホルム改正条約</x:v>
      </x:c>
      <x:c r="D168" s="22" t="str">
        <x:v>パリ条約のストックホルム改正条約／（ハ）</x:v>
      </x:c>
      <x:c r="E168" s="22" t="str">
        <x:v>○×</x:v>
      </x:c>
      <x:c r="F168" s="22" t="str">
        <x:v>商号が同盟国において保護されるためには、その同盟国において、登記の申請又は登記が行われていることを必要とする。</x:v>
      </x:c>
      <x:c r="G168" s="22" t="str">
        <x:v>×</x:v>
      </x:c>
      <x:c r="H168" s="22" t="str">
        <x:v>商号は、商標の一部であるかどうかを問わず、すべての同盟国において保護されるものとし、そのためには、「登記の申請又は登記が行われていることを必要としない」【パリ８条】。これに対して、本枝では「必要とする」とされている。よって、本枝は誤り。
なお、各同盟国は、登記の申請又は登記が行われていることを要求することはできないが、国内法上の追加的効果を与える余地まで否定しているわけではなく、登記の有無で保護に差を設けることはできる。
また、商号の保護を受けるために登記申請又は登記を必須条件としてはならない、という規定であって未登記商号も保護され得るが、他人の営業と混同を生じさせるような名称の使用については別途問題になりうる。</x:v>
      </x:c>
      <x:c r="I168" s="22" t="str">
        <x:v>パリ８条</x:v>
      </x:c>
      <x:c r="J168" s="22" t="str"/>
      <x:c r="K168" s="22" t="str">
        <x:v>令和2年度短答（TAC過去問）／【条約】7 （ハ）／スライド268</x:v>
      </x:c>
      <x:c r="L168" s="22" t="n">
        <x:v>0</x:v>
      </x:c>
      <x:c r="M168" s="22" t="n">
        <x:v>0</x:v>
      </x:c>
      <x:c r="N168" s="23" t="str">
        <x:f>IF(SUM(L168:M168)=0,"",L168/SUM(L168:M168))</x:f>
      </x:c>
      <x:c r="O168" s="22" t="str">
        <x:f>IF(SUM(L168:M168)=0,"NEW",IF(N168&gt;=0.9,"A",IF(N168&gt;=0.75,"B",IF(N168&gt;=0.5,"C","D"))))</x:f>
        <x:v>NEW</x:v>
      </x:c>
      <x:c r="P168" s="22" t="n">
        <x:v>0</x:v>
      </x:c>
      <x:c r="Q168" s="24"/>
      <x:c r="R168" s="24"/>
      <x:c r="S168" s="22" t="str">
        <x:v>原問：パリ条約のストックホルム改正条約について、次の（イ）～（ニ）のうち、正しいものは、いくつあるか。</x:v>
      </x:c>
    </x:row>
    <x:row r="169">
      <x:c r="A169" s="22" t="str">
        <x:v>R02-TR07-ニ</x:v>
      </x:c>
      <x:c r="B169" s="22" t="str">
        <x:v>条約</x:v>
      </x:c>
      <x:c r="C169" s="22" t="str">
        <x:v>パリ条約のストックホルム改正条約</x:v>
      </x:c>
      <x:c r="D169" s="22" t="str">
        <x:v>パリ条約のストックホルム改正条約／（ニ）</x:v>
      </x:c>
      <x:c r="E169" s="22" t="str">
        <x:v>○×</x:v>
      </x:c>
      <x:c r="F169" s="22" t="str">
        <x:v>同盟国の間で締結された２国間の条約により正規の国内出願とされるすべての出願は、優先権を生じさせるものと認められる。</x:v>
      </x:c>
      <x:c r="G169" s="22" t="str">
        <x:v>○</x:v>
      </x:c>
      <x:c r="H169" s="22" t="str">
        <x:v>パリ条約4条A（２）における「優先権の基礎にできる出願」の範囲に関する問題である。同条項によれば、各同盟国の国内法令又は「同盟国の間で締結された２国間」若しくは多数国間の条約により正規の国内出願とされるすべての出願は、優先権を生じさせるものと認められる。よって、本枝は正しい。
優先権の基礎となるルートは３つ
各同盟国の
①国内法令
②２国間条約
③多数国間条約</x:v>
      </x:c>
      <x:c r="I169" s="22" t="str"/>
      <x:c r="J169" s="22" t="str"/>
      <x:c r="K169" s="22" t="str">
        <x:v>令和2年度短答（TAC過去問）／【条約】7 （ニ）／スライド269</x:v>
      </x:c>
      <x:c r="L169" s="22" t="n">
        <x:v>0</x:v>
      </x:c>
      <x:c r="M169" s="22" t="n">
        <x:v>0</x:v>
      </x:c>
      <x:c r="N169" s="23" t="str">
        <x:f>IF(SUM(L169:M169)=0,"",L169/SUM(L169:M169))</x:f>
      </x:c>
      <x:c r="O169" s="22" t="str">
        <x:f>IF(SUM(L169:M169)=0,"NEW",IF(N169&gt;=0.9,"A",IF(N169&gt;=0.75,"B",IF(N169&gt;=0.5,"C","D"))))</x:f>
        <x:v>NEW</x:v>
      </x:c>
      <x:c r="P169" s="22" t="n">
        <x:v>0</x:v>
      </x:c>
      <x:c r="Q169" s="24"/>
      <x:c r="R169" s="24"/>
      <x:c r="S169" s="22" t="str">
        <x:v>原問：パリ条約のストックホルム改正条約について、次の（イ）～（ニ）のうち、正しいものは、いくつあるか。</x:v>
      </x:c>
    </x:row>
    <x:row r="170">
      <x:c r="A170" s="22" t="str">
        <x:v>R02-TR08-1</x:v>
      </x:c>
      <x:c r="B170" s="22" t="str">
        <x:v>条約</x:v>
      </x:c>
      <x:c r="C170" s="22" t="str">
        <x:v>パリ条約のストックホルム改正条約</x:v>
      </x:c>
      <x:c r="D170" s="22" t="str">
        <x:v>パリ条約のストックホルム改正条約／1</x:v>
      </x:c>
      <x:c r="E170" s="22" t="str">
        <x:v>○×</x:v>
      </x:c>
      <x:c r="F170" s="22" t="str">
        <x:v>同盟国の国民が各同盟国において出願した特許は、同盟国でない国において同一の発明について取得した特許からも独立したものとされる。</x:v>
      </x:c>
      <x:c r="G170" s="22" t="str">
        <x:v>○</x:v>
      </x:c>
      <x:c r="H170" s="22" t="str">
        <x:v>同盟国の国民が各同盟国において出願した特許は、「他の国（同盟国であるかどうかを問わない。）」において同一の発明について取得した特許から独立したものとする【パリ４条の２（１）】。すなわち、特許は、同盟国以外の国も含めて、全ての国の特許から独立したものとしなければならない。従って、同盟国でない国において同一の発明について取得した特許からも独立したものとされる。よって、本枝は正しい。</x:v>
      </x:c>
      <x:c r="I170" s="22" t="str">
        <x:v>パリ４条</x:v>
      </x:c>
      <x:c r="J170" s="22" t="str"/>
      <x:c r="K170" s="22" t="str">
        <x:v>令和2年度短答（TAC過去問）／【条約】8 1／スライド270</x:v>
      </x:c>
      <x:c r="L170" s="22" t="n">
        <x:v>0</x:v>
      </x:c>
      <x:c r="M170" s="22" t="n">
        <x:v>0</x:v>
      </x:c>
      <x:c r="N170" s="23" t="str">
        <x:f>IF(SUM(L170:M170)=0,"",L170/SUM(L170:M170))</x:f>
      </x:c>
      <x:c r="O170" s="22" t="str">
        <x:f>IF(SUM(L170:M170)=0,"NEW",IF(N170&gt;=0.9,"A",IF(N170&gt;=0.75,"B",IF(N170&gt;=0.5,"C","D"))))</x:f>
        <x:v>NEW</x:v>
      </x:c>
      <x:c r="P170" s="22" t="n">
        <x:v>0</x:v>
      </x:c>
      <x:c r="Q170" s="24"/>
      <x:c r="R170" s="24"/>
      <x:c r="S170" s="22" t="str">
        <x:v>原問：パリ条約のストックホルム改正条約について、次のうち、誤っているものは、どれか。</x:v>
      </x:c>
    </x:row>
    <x:row r="171">
      <x:c r="A171" s="22" t="str">
        <x:v>R02-TR08-2</x:v>
      </x:c>
      <x:c r="B171" s="22" t="str">
        <x:v>条約</x:v>
      </x:c>
      <x:c r="C171" s="22" t="str">
        <x:v>パリ条約のストックホルム改正条約</x:v>
      </x:c>
      <x:c r="D171" s="22" t="str">
        <x:v>パリ条約のストックホルム改正条約／2</x:v>
      </x:c>
      <x:c r="E171" s="22" t="str">
        <x:v>○×</x:v>
      </x:c>
      <x:c r="F171" s="22" t="str">
        <x:v>優先権の利益によって取得された特許については、各同盟国において、優先権の利益なしに特許出願がされ又は特許が与えられた場合に認められる存続期間と同一の存続期間が認められる。</x:v>
      </x:c>
      <x:c r="G171" s="22" t="str">
        <x:v>○</x:v>
      </x:c>
      <x:c r="H171" s="22" t="str">
        <x:v>優先権の利益によって取得された特許については、「各同盟国において、優先権の利益なしに特許出願がされ又は特許が与えられた場合に認められる存続期間と同一の存続期間が認められる」【パリ４条の２（５）】。この規定は、ロンドン改正条約で、優先権の利益をもって取得した特許と優先権の利益なしに取得した特許との間で存続期間に差別を設けさせないために挿入されたものである（パリ条約講和）。よって、本枝は正しい。</x:v>
      </x:c>
      <x:c r="I171" s="22" t="str">
        <x:v>パリ４条</x:v>
      </x:c>
      <x:c r="J171" s="22" t="str"/>
      <x:c r="K171" s="22" t="str">
        <x:v>令和2年度短答（TAC過去問）／【条約】8 2／スライド271</x:v>
      </x:c>
      <x:c r="L171" s="22" t="n">
        <x:v>0</x:v>
      </x:c>
      <x:c r="M171" s="22" t="n">
        <x:v>0</x:v>
      </x:c>
      <x:c r="N171" s="23" t="str">
        <x:f>IF(SUM(L171:M171)=0,"",L171/SUM(L171:M171))</x:f>
      </x:c>
      <x:c r="O171" s="22" t="str">
        <x:f>IF(SUM(L171:M171)=0,"NEW",IF(N171&gt;=0.9,"A",IF(N171&gt;=0.75,"B",IF(N171&gt;=0.5,"C","D"))))</x:f>
        <x:v>NEW</x:v>
      </x:c>
      <x:c r="P171" s="22" t="n">
        <x:v>0</x:v>
      </x:c>
      <x:c r="Q171" s="24"/>
      <x:c r="R171" s="24"/>
      <x:c r="S171" s="22" t="str">
        <x:v>原問：パリ条約のストックホルム改正条約について、次のうち、誤っているものは、どれか。</x:v>
      </x:c>
    </x:row>
    <x:row r="172">
      <x:c r="A172" s="22" t="str">
        <x:v>R02-TR08-3</x:v>
      </x:c>
      <x:c r="B172" s="22" t="str">
        <x:v>条約</x:v>
      </x:c>
      <x:c r="C172" s="22" t="str">
        <x:v>パリ条約のストックホルム改正条約</x:v>
      </x:c>
      <x:c r="D172" s="22" t="str">
        <x:v>パリ条約のストックホルム改正条約／3</x:v>
      </x:c>
      <x:c r="E172" s="22" t="str">
        <x:v>○×</x:v>
      </x:c>
      <x:c r="F172" s="22" t="str">
        <x:v>いずれかの同盟国において正規に登録された商標は、他の同盟国（本国を含む。）において登録された商標から独立したものとする。</x:v>
      </x:c>
      <x:c r="G172" s="22" t="str">
        <x:v>○</x:v>
      </x:c>
      <x:c r="H172" s="22" t="str">
        <x:v>いずれかの同盟国において正規に登録された商標は、他の同盟国（本国を含む。）において登録された商標から独立したものとする（パリ６条（３））。よって、本枝は正しい。
なお、パリ条約６条は、（１）商標登録の条件を各国法に委ねつつ、（２）本国で未出願・未登録・未更新であることだけを理由とする他国での拒絶・無効を禁止し、（３）各国で正規に成立した登録を相互（本国を含む）に独立させている。
したがって、本国登録が消滅しても他国登録が当然に消滅するわけではない。「本国を含む」「登録後の独立」が短答のポイントである。
パリ条約
第６条　商標の登録の条件、各国の商標保護の独立
（１）商標の登録出願及び登録の条件は、各同盟国において国内法令で定める。
（２）もつとも、同盟国の国民がいずれかの同盟国において登録出願をした商標については、本国において登録出願、登録又は存続期間の更新がされていないことを理由として登録が拒絶され又は無効とされることはない。
（３）いずれかの同盟国において正規に登録された商標は、他の同盟国（本国を含む。）において登録された商標から独立したものとする。</x:v>
      </x:c>
      <x:c r="I172" s="22" t="str">
        <x:v>パリ６条</x:v>
      </x:c>
      <x:c r="J172" s="22" t="str"/>
      <x:c r="K172" s="22" t="str">
        <x:v>令和2年度短答（TAC過去問）／【条約】8 3／スライド272-273</x:v>
      </x:c>
      <x:c r="L172" s="22" t="n">
        <x:v>0</x:v>
      </x:c>
      <x:c r="M172" s="22" t="n">
        <x:v>0</x:v>
      </x:c>
      <x:c r="N172" s="23" t="str">
        <x:f>IF(SUM(L172:M172)=0,"",L172/SUM(L172:M172))</x:f>
      </x:c>
      <x:c r="O172" s="22" t="str">
        <x:f>IF(SUM(L172:M172)=0,"NEW",IF(N172&gt;=0.9,"A",IF(N172&gt;=0.75,"B",IF(N172&gt;=0.5,"C","D"))))</x:f>
        <x:v>NEW</x:v>
      </x:c>
      <x:c r="P172" s="22" t="n">
        <x:v>0</x:v>
      </x:c>
      <x:c r="Q172" s="24"/>
      <x:c r="R172" s="24"/>
      <x:c r="S172" s="22" t="str">
        <x:v>原問：パリ条約のストックホルム改正条約について、次のうち、誤っているものは、どれか。</x:v>
      </x:c>
    </x:row>
    <x:row r="173">
      <x:c r="A173" s="22" t="str">
        <x:v>R02-TR08-5</x:v>
      </x:c>
      <x:c r="B173" s="22" t="str">
        <x:v>条約</x:v>
      </x:c>
      <x:c r="C173" s="22" t="str">
        <x:v>パリ条約のストックホルム改正条約</x:v>
      </x:c>
      <x:c r="D173" s="22" t="str">
        <x:v>パリ条約のストックホルム改正条約／5</x:v>
      </x:c>
      <x:c r="E173" s="22" t="str">
        <x:v>○×</x:v>
      </x:c>
      <x:c r="F173" s="22" t="str">
        <x:v>同盟国の国民がいずれかの同盟国において登録出願した商標については、本国において登録出願、登録又は存続期間の更新がされていないことを理由として登録が拒絶され又は無効とされることはない。</x:v>
      </x:c>
      <x:c r="G173" s="22" t="str">
        <x:v>○</x:v>
      </x:c>
      <x:c r="H173" s="22" t="str">
        <x:v>同盟国の国民がいずれかの同盟国において登録出願をした商標については、「本国において登録出願、登録又は存続期間の更新がされていないことを理由として登録が拒絶され又は無効とされることはない」【パリ６条（２）】。よって、正しい。
なお、パリ条約６条は、（１）商標登録の条件を各国法に委ねつつ、（２）本国で未出願・未登録・未更新であることだけを理由とする他国での拒絶・無効を禁止し、（３）各国で正規に成立した登録を相互（本国を含む）に独立させている。</x:v>
      </x:c>
      <x:c r="I173" s="22" t="str">
        <x:v>パリ６条</x:v>
      </x:c>
      <x:c r="J173" s="22" t="str"/>
      <x:c r="K173" s="22" t="str">
        <x:v>令和2年度短答（TAC過去問）／【条約】8 5／スライド274-275</x:v>
      </x:c>
      <x:c r="L173" s="22" t="n">
        <x:v>0</x:v>
      </x:c>
      <x:c r="M173" s="22" t="n">
        <x:v>0</x:v>
      </x:c>
      <x:c r="N173" s="23" t="str">
        <x:f>IF(SUM(L173:M173)=0,"",L173/SUM(L173:M173))</x:f>
      </x:c>
      <x:c r="O173" s="22" t="str">
        <x:f>IF(SUM(L173:M173)=0,"NEW",IF(N173&gt;=0.9,"A",IF(N173&gt;=0.75,"B",IF(N173&gt;=0.5,"C","D"))))</x:f>
        <x:v>NEW</x:v>
      </x:c>
      <x:c r="P173" s="22" t="n">
        <x:v>0</x:v>
      </x:c>
      <x:c r="Q173" s="24"/>
      <x:c r="R173" s="24"/>
      <x:c r="S173" s="22" t="str">
        <x:v>原問：パリ条約のストックホルム改正条約について、次のうち、誤っているものは、どれか。</x:v>
      </x:c>
    </x:row>
    <x:row r="174">
      <x:c r="A174" s="22" t="str">
        <x:v>R02-TR09-1</x:v>
      </x:c>
      <x:c r="B174" s="22" t="str">
        <x:v>条約</x:v>
      </x:c>
      <x:c r="C174" s="22" t="str">
        <x:v>知的所有権の貿易関連の側面</x:v>
      </x:c>
      <x:c r="D174" s="22" t="str">
        <x:v>知的所有権の貿易関連の側面／1</x:v>
      </x:c>
      <x:c r="E174" s="22" t="str">
        <x:v>○×</x:v>
      </x:c>
      <x:c r="F174" s="22" t="str">
        <x:v>一般的な性格を有さず、かつ、知的所有権の保護に特に限定される司法共助又は法の執行に関する国際協定に基づいて、加盟国が与える利益、特典、特権又は免除は、最恵国待遇を与える義務から除外される。</x:v>
      </x:c>
      <x:c r="G174" s="22" t="str">
        <x:v>×</x:v>
      </x:c>
      <x:c r="H174" s="22" t="str">
        <x:v>知的所有権の保護に関し、加盟国が他の国の国民に与える利益、特典、特権又は免除は、他のすべての加盟国の国民に対し即時かつ無条件に与えられる。加盟国が与える次の利益、特典、特権又は免除のひとつとしての、一般的な性格を有し、かつ、知的所有権の保護に特に限定されない司法共助又は法の執行に関する国際協定に基づくものについては、そのような義務から除外される（ＴＲＩＰＳ４条（ａ））。
従って、一般的な性格を「有さない」ものは、最恵国待遇を与える義務からは除外されない。これに対して、本枝は「一般的な性格を有さず、かつ、知的所有権の保護に特に限定される…」とされており、このようなものは最恵国待遇から除外されない。よって、本枝は誤り。
なお、ＴＲＩＰＳ４条第２文は、最恵国待遇原則の例外を規定している。ＴＲＩＰＳ協定上は４個の例外が認められている。まず第１の例外は、一般的な司法共助及び法執行に関する国際協定に基づくものである。
ＴＲＩＰＳ協定第３部は裁判手続等知的財産権の権利行使手続（エンフォースメント）のあり方について詳細な規定を置くに至ったが、それでもなお各加盟国の司法制度には、相当程度の相違があることは否めず、現に様々な形で司法共助及び法執行に関する国際協定が締結されている。これらを一気に最恵国待遇原則の対象に加えるのが相当でないことについては、異論がなかった（逐条解説ＴＲＩＰＳ協定Ｐ．４０）。</x:v>
      </x:c>
      <x:c r="I174" s="22" t="str">
        <x:v>ＴＲＩＰＳ４条</x:v>
      </x:c>
      <x:c r="J174" s="22" t="str"/>
      <x:c r="K174" s="22" t="str">
        <x:v>令和2年度短答（TAC過去問）／【条約】9 1／スライド276-277</x:v>
      </x:c>
      <x:c r="L174" s="22" t="n">
        <x:v>0</x:v>
      </x:c>
      <x:c r="M174" s="22" t="n">
        <x:v>0</x:v>
      </x:c>
      <x:c r="N174" s="23" t="str">
        <x:f>IF(SUM(L174:M174)=0,"",L174/SUM(L174:M174))</x:f>
      </x:c>
      <x:c r="O174" s="22" t="str">
        <x:f>IF(SUM(L174:M174)=0,"NEW",IF(N174&gt;=0.9,"A",IF(N174&gt;=0.75,"B",IF(N174&gt;=0.5,"C","D"))))</x:f>
        <x:v>NEW</x:v>
      </x:c>
      <x:c r="P174" s="22" t="n">
        <x:v>0</x:v>
      </x:c>
      <x:c r="Q174" s="24"/>
      <x:c r="R174" s="24"/>
      <x:c r="S174" s="22" t="str">
        <x:v>原問：知的所有権の貿易関連の側面に関する協定に関し、次のうち、正しいものは、どれか。</x:v>
      </x:c>
    </x:row>
    <x:row r="175">
      <x:c r="A175" s="22" t="str">
        <x:v>R02-TR09-2</x:v>
      </x:c>
      <x:c r="B175" s="22" t="str">
        <x:v>条約</x:v>
      </x:c>
      <x:c r="C175" s="22" t="str">
        <x:v>知的所有権の貿易関連の側面</x:v>
      </x:c>
      <x:c r="D175" s="22" t="str">
        <x:v>知的所有権の貿易関連の側面／2</x:v>
      </x:c>
      <x:c r="E175" s="22" t="str">
        <x:v>○×</x:v>
      </x:c>
      <x:c r="F175" s="22" t="str">
        <x:v>加盟国は、商標権者及び第三者の正当な利益を考慮して、商標により与えられる権利につき、記述上の用語の公正な使用に関して限定的な例外を定めなければならない。</x:v>
      </x:c>
      <x:c r="G175" s="22" t="str">
        <x:v>×</x:v>
      </x:c>
      <x:c r="H175" s="22" t="str">
        <x:v>加盟国は、商標権者及び第三者の正当な利益を考慮することを条件として、商標により与えられる権利につき、記述上の用語の公正な使用（fair use）等限定的な例外を定めることができる（ＴＲＩＰＳ１７条）。
商品や役務（サービス）の内容を示す記述的な表現を善意で行った場合に、それが仮に登録された商標を使用することになっても、それを許容する旨の国内法を作ることを可能にする規定である。従って、限定的な例外を定めなければならないわけではない。
これに対して、本枝は「定めなければならない」とされている。よって、本枝は誤り。
なお、記述的用語の公正な使用が例示として掲げられているが、定める場合には、その他のものも、商標権者と第三者の利益を衡量して定めなければならないとされている（逐条解説ＴＲＩＰＳ協定）。</x:v>
      </x:c>
      <x:c r="I175" s="22" t="str">
        <x:v>ＴＲＩＰＳ１７条</x:v>
      </x:c>
      <x:c r="J175" s="22" t="str"/>
      <x:c r="K175" s="22" t="str">
        <x:v>令和2年度短答（TAC過去問）／【条約】9 2／スライド278-279</x:v>
      </x:c>
      <x:c r="L175" s="22" t="n">
        <x:v>0</x:v>
      </x:c>
      <x:c r="M175" s="22" t="n">
        <x:v>0</x:v>
      </x:c>
      <x:c r="N175" s="23" t="str">
        <x:f>IF(SUM(L175:M175)=0,"",L175/SUM(L175:M175))</x:f>
      </x:c>
      <x:c r="O175" s="22" t="str">
        <x:f>IF(SUM(L175:M175)=0,"NEW",IF(N175&gt;=0.9,"A",IF(N175&gt;=0.75,"B",IF(N175&gt;=0.5,"C","D"))))</x:f>
        <x:v>NEW</x:v>
      </x:c>
      <x:c r="P175" s="22" t="n">
        <x:v>0</x:v>
      </x:c>
      <x:c r="Q175" s="24"/>
      <x:c r="R175" s="24"/>
      <x:c r="S175" s="22" t="str">
        <x:v>原問：知的所有権の貿易関連の側面に関する協定に関し、次のうち、正しいものは、どれか。</x:v>
      </x:c>
    </x:row>
    <x:row r="176">
      <x:c r="A176" s="22" t="str">
        <x:v>R02-TR09-3</x:v>
      </x:c>
      <x:c r="B176" s="22" t="str">
        <x:v>条約</x:v>
      </x:c>
      <x:c r="C176" s="22" t="str">
        <x:v>知的所有権の貿易関連の側面</x:v>
      </x:c>
      <x:c r="D176" s="22" t="str">
        <x:v>知的所有権の貿易関連の側面／3</x:v>
      </x:c>
      <x:c r="E176" s="22" t="str">
        <x:v>○×</x:v>
      </x:c>
      <x:c r="F176" s="22" t="str">
        <x:v>加盟国は、繊維の意匠の保護を確保するための要件、特に、費用、審査又は公告に関する要件が保護を求め又は取得する機会を不当に害さないことを確保する。</x:v>
      </x:c>
      <x:c r="G176" s="22" t="str">
        <x:v>○</x:v>
      </x:c>
      <x:c r="H176" s="22" t="str">
        <x:v>加盟国は、繊維の意匠の保護を確保するための要件、特に、費用、審査又は公告に関する要件が保護を求め又は取得する機会を「不当に害さないことを確保する」【ＴＲＩＰＳ協定２５条２第１文】。よって、正しい。
繊維製品に関するデザインは、流行を考えると商品のライフサイクルが著しく短いものの典型である。本項は、加盟国に対し、繊維製品に関する意匠のそのような性質に特に配慮し、権利取得の費用や審査期間の手続などの要件によって保護の機会が不当に阻害されないようにすることを確保するよう要請している。本項は、繊維製品に関するデザインに強い競争力を持つ欧州諸国の主導の下に盛り込まれた規定であるが、繊維製品の輸出が多い開発途上国もこのような規定で恩恵を受けるはずである。
なお、第２文は、意匠の保護に関する各国の法制度の状況を反映したものである。すなわち、意匠の保護については、フランスやドイツなどのように著作権と同様無審査で保護する方法（いわゆるコピーライト・アプローチ）と我が国や米国などのように特許と同様登録により権利を付与する方法（いわゆるパテント・アプローチ）があり、ＴＲＩＰＳ協定では、そのいずれの方式も許容することにしたのである（逐条解説ＴＲＩＰＳ協定）。</x:v>
      </x:c>
      <x:c r="I176" s="22" t="str"/>
      <x:c r="J176" s="22" t="str"/>
      <x:c r="K176" s="22" t="str">
        <x:v>令和2年度短答（TAC過去問）／【条約】9 3／スライド282-283</x:v>
      </x:c>
      <x:c r="L176" s="22" t="n">
        <x:v>0</x:v>
      </x:c>
      <x:c r="M176" s="22" t="n">
        <x:v>0</x:v>
      </x:c>
      <x:c r="N176" s="23" t="str">
        <x:f>IF(SUM(L176:M176)=0,"",L176/SUM(L176:M176))</x:f>
      </x:c>
      <x:c r="O176" s="22" t="str">
        <x:f>IF(SUM(L176:M176)=0,"NEW",IF(N176&gt;=0.9,"A",IF(N176&gt;=0.75,"B",IF(N176&gt;=0.5,"C","D"))))</x:f>
        <x:v>NEW</x:v>
      </x:c>
      <x:c r="P176" s="22" t="n">
        <x:v>0</x:v>
      </x:c>
      <x:c r="Q176" s="24"/>
      <x:c r="R176" s="24"/>
      <x:c r="S176" s="22" t="str">
        <x:v>原問：知的所有権の貿易関連の側面に関する協定に関し、次のうち、正しいものは、どれか。</x:v>
      </x:c>
    </x:row>
    <x:row r="177">
      <x:c r="A177" s="22" t="str">
        <x:v>R02-TR09-5</x:v>
      </x:c>
      <x:c r="B177" s="22" t="str">
        <x:v>条約</x:v>
      </x:c>
      <x:c r="C177" s="22" t="str">
        <x:v>知的所有権の貿易関連の側面</x:v>
      </x:c>
      <x:c r="D177" s="22" t="str">
        <x:v>知的所有権の貿易関連の側面／5</x:v>
      </x:c>
      <x:c r="E177" s="22" t="str">
        <x:v>○×</x:v>
      </x:c>
      <x:c r="F177" s="22" t="str">
        <x:v>加盟国は、知的所有権の保護の対象であって、その取引が知的所有権の侵害を伴うことを関係者が知るか又は知ることができる合理的な理由を有することとなる前に当該関係者により取得され又は注文されたものに関して、司法当局に対し、知的所有権を侵害しないことを当該関係者に命じる権限を与える義務を負う。</x:v>
      </x:c>
      <x:c r="G177" s="22" t="str">
        <x:v>×</x:v>
      </x:c>
      <x:c r="H177" s="22" t="str">
        <x:v>解説
司法当局は、当事者に対し、知的所有権を侵害しないこと、特に知的所有権を侵害する輸入物品の管轄内の流通経路への流入を通関後直ちに防止することを命じる権限を有する。加盟国は、保護の対象であって、その取引が知的所有権の侵害を伴うことを関係者が知るか又は知ることができる合理的な理由を有することとなる前に当該関係者により取得され又は注文されたものに関しては、当該権限を与える義務を負わない（ＴＲＩＰＳ４４条（１））。
本項第１文は、裁判所に知的財産権の侵害に対する差止め、特に侵害物品の輸入の差止めを命ずる権限を付与すべきであるとの規定であり、第２文はその例外である。
これに対して、本枝は「権限を与える義務を負う」とされている。よって、本枝は誤り。</x:v>
      </x:c>
      <x:c r="I177" s="22" t="str">
        <x:v>ＴＲＩＰＳ４４条</x:v>
      </x:c>
      <x:c r="J177" s="22" t="str"/>
      <x:c r="K177" s="22" t="str">
        <x:v>令和2年度短答（TAC過去問）／【条約】9 5／スライド284</x:v>
      </x:c>
      <x:c r="L177" s="22" t="n">
        <x:v>0</x:v>
      </x:c>
      <x:c r="M177" s="22" t="n">
        <x:v>0</x:v>
      </x:c>
      <x:c r="N177" s="23" t="str">
        <x:f>IF(SUM(L177:M177)=0,"",L177/SUM(L177:M177))</x:f>
      </x:c>
      <x:c r="O177" s="22" t="str">
        <x:f>IF(SUM(L177:M177)=0,"NEW",IF(N177&gt;=0.9,"A",IF(N177&gt;=0.75,"B",IF(N177&gt;=0.5,"C","D"))))</x:f>
        <x:v>NEW</x:v>
      </x:c>
      <x:c r="P177" s="22" t="n">
        <x:v>0</x:v>
      </x:c>
      <x:c r="Q177" s="24"/>
      <x:c r="R177" s="24"/>
      <x:c r="S177" s="22" t="str">
        <x:v>原問：知的所有権の貿易関連の側面に関する協定に関し、次のうち、正しいものは、どれか。</x:v>
      </x:c>
    </x:row>
    <x:row r="178">
      <x:c r="A178" s="22" t="str">
        <x:v>R02-TR10-2</x:v>
      </x:c>
      <x:c r="B178" s="22" t="str">
        <x:v>条約</x:v>
      </x:c>
      <x:c r="C178" s="22" t="str">
        <x:v>知的所有権の貿易関連の側面</x:v>
      </x:c>
      <x:c r="D178" s="22" t="str">
        <x:v>知的所有権の貿易関連の側面／2</x:v>
      </x:c>
      <x:c r="E178" s="22" t="str">
        <x:v>○×</x:v>
      </x:c>
      <x:c r="F178" s="22" t="str">
        <x:v>他の使用は、主として当該他の使用を許諾する加盟国の国内市場への供給のために許諾されると規定されているが、加盟国は、司法上又は行政上の手続の結果反競争的と決定された行為を是正する目的のために他の使用が許諾される場合には、上記規定に定める条件を適用する義務を負わないと規定されている。</x:v>
      </x:c>
      <x:c r="G178" s="22" t="str">
        <x:v>○</x:v>
      </x:c>
      <x:c r="H178" s="22" t="str">
        <x:v>解説
他の使用は、主として当該他の使用を許諾する加盟国の国内市場への供給のために許諾される（ＴＲＩＰＳ協定３１条（ｆ））。本号は、強制実施権等の設定の範囲を主として国内市場への供給を目的とする行為に限定する趣旨の規定である。
本号は、強制実施権者に対して特許権者に比べて必要以上に強い権利を与えないようにすることを目的としている（逐条解説ＴＲＩＰＳ協定）。
ただし、加盟国は、司法上又は行政上の手続の結果反競争的と決定された行為を是正する目的のために他の使用が許諾される場合には、ＴＲＩＰＳ３１条（ｂ）（事前協議の必要性等）及び（ｆ）（国内市場への限定）に定める条件を適用する義務を負わない（ＴＲＩＰＳ３１条（ｋ））。
反競争的行為の是正目的であれば、当事者間の事前協議が想定されないので、（ｂ）の排除は性質上当然であるが、これに加えて（ｆ）も排除したのは、反競争的行為に対する救済のためには国内市場だけではなく、輸出市場も含めた特許使用の許諾が必要になる場合もありうると考えられたからである（逐条解説ＴＲＩＰＳ協定Ｐ．１５４）。よって、本枝は正しい。
※ＴＲＩＰＳ（トリップス）協定では、反競争的行為の具体例としては、特許によって医薬品の価格が上昇したり、生産量が不足したりすることが挙げられます。特許によって医薬品の価格が上昇したり、生産量が不足したりすると、途上国において医薬品の入手が困難になり、感染症の蔓延の原因となるとの問題が指摘されています。</x:v>
      </x:c>
      <x:c r="I178" s="22" t="str">
        <x:v>ＴＲＩＰＳ３１条</x:v>
      </x:c>
      <x:c r="J178" s="22" t="str"/>
      <x:c r="K178" s="22" t="str">
        <x:v>令和2年度短答（TAC過去問）／【条約】10 2／スライド285-286</x:v>
      </x:c>
      <x:c r="L178" s="22" t="n">
        <x:v>0</x:v>
      </x:c>
      <x:c r="M178" s="22" t="n">
        <x:v>0</x:v>
      </x:c>
      <x:c r="N178" s="23" t="str">
        <x:f>IF(SUM(L178:M178)=0,"",L178/SUM(L178:M178))</x:f>
      </x:c>
      <x:c r="O178" s="22" t="str">
        <x:f>IF(SUM(L178:M178)=0,"NEW",IF(N178&gt;=0.9,"A",IF(N178&gt;=0.75,"B",IF(N178&gt;=0.5,"C","D"))))</x:f>
        <x:v>NEW</x:v>
      </x:c>
      <x:c r="P178" s="22" t="n">
        <x:v>0</x:v>
      </x:c>
      <x:c r="Q178" s="24"/>
      <x:c r="R178" s="24"/>
      <x:c r="S178" s="22" t="str">
        <x:v>原問：知的所有権の貿易関連の側面に関する協定（以下「ＴＲＩＰＳ協定」という。）の第３１条及び第３１条の２で規定する他の使用に関し、次のうち、誤っているものは、どれか。</x:v>
      </x:c>
    </x:row>
    <x:row r="179">
      <x:c r="A179" s="22" t="str">
        <x:v>R02-TR10-3</x:v>
      </x:c>
      <x:c r="B179" s="22" t="str">
        <x:v>条約</x:v>
      </x:c>
      <x:c r="C179" s="22" t="str">
        <x:v>知的所有権の貿易関連の側面</x:v>
      </x:c>
      <x:c r="D179" s="22" t="str">
        <x:v>知的所有権の貿易関連の側面／3</x:v>
      </x:c>
      <x:c r="E179" s="22" t="str">
        <x:v>○×</x:v>
      </x:c>
      <x:c r="F179" s="22" t="str">
        <x:v>他の使用は、主として当該他の使用を許諾する加盟国の国内市場への供給のために許諾されると規定されているが、ＴＲＩＰＳ協定の附属書に定める条件に従い、輸出加盟国が、医薬品を生産し、及びそれを輸入する資格を有する加盟国に輸出するために必要な範囲において当該輸出加盟国が与える強制実施許諾については、上記規定に定める義務を適用しないと規定されている。</x:v>
      </x:c>
      <x:c r="G179" s="22" t="str">
        <x:v>○</x:v>
      </x:c>
      <x:c r="H179" s="22" t="str">
        <x:v>解説
他の使用は、主として当該他の使用を許諾する加盟国の国内市場への供給のために許諾される（ＴＲＩＰＳ協定３１条（ｆ））。本号は、強制実施権等の設定の範囲を主として国内市場への供給を目的とする行為に限定する趣旨の規定である。本号は、強制実施権者に対して特許権者に比べて必要以上に強い権利を与えないようにすることを目的としている（逐条解説ＴＲＩＰＳ協定）。
しかし、医薬品の生産能力が不十分又は無い国においては、ＨＩＶ等の感染症等による公衆の健康の問題に対処するためには、外国からの医薬品の輸入に頼らざるを得ないことから、平成２９年改正により、この「輸出加盟国の義務は…医薬品を生産し、及びそれを輸入する資格を有する加盟国（医薬品の生産能力が不十分又は無い国）に輸出するために必要は範囲において当該輸入加盟国が与える強制実施許諾については、適用しない」との条項が追加された【ＴＲＩＰＳ協定３１条の２第１第１文】。よって、正しい。</x:v>
      </x:c>
      <x:c r="I179" s="22" t="str"/>
      <x:c r="J179" s="22" t="str"/>
      <x:c r="K179" s="22" t="str">
        <x:v>令和2年度短答（TAC過去問）／【条約】10 3／スライド287-288</x:v>
      </x:c>
      <x:c r="L179" s="22" t="n">
        <x:v>0</x:v>
      </x:c>
      <x:c r="M179" s="22" t="n">
        <x:v>0</x:v>
      </x:c>
      <x:c r="N179" s="23" t="str">
        <x:f>IF(SUM(L179:M179)=0,"",L179/SUM(L179:M179))</x:f>
      </x:c>
      <x:c r="O179" s="22" t="str">
        <x:f>IF(SUM(L179:M179)=0,"NEW",IF(N179&gt;=0.9,"A",IF(N179&gt;=0.75,"B",IF(N179&gt;=0.5,"C","D"))))</x:f>
        <x:v>NEW</x:v>
      </x:c>
      <x:c r="P179" s="22" t="n">
        <x:v>0</x:v>
      </x:c>
      <x:c r="Q179" s="24"/>
      <x:c r="R179" s="24"/>
      <x:c r="S179" s="22" t="str">
        <x:v>原問：知的所有権の貿易関連の側面に関する協定（以下「ＴＲＩＰＳ協定」という。）の第３１条及び第３１条の２で規定する他の使用に関し、次のうち、誤っているものは、どれか。</x:v>
      </x:c>
    </x:row>
    <x:row r="180">
      <x:c r="A180" s="22" t="str">
        <x:v>R02-TR10-4</x:v>
      </x:c>
      <x:c r="B180" s="22" t="str">
        <x:v>条約</x:v>
      </x:c>
      <x:c r="C180" s="22" t="str">
        <x:v>知的所有権の貿易関連の側面</x:v>
      </x:c>
      <x:c r="D180" s="22" t="str">
        <x:v>知的所有権の貿易関連の側面／4</x:v>
      </x:c>
      <x:c r="E180" s="22" t="str">
        <x:v>○×</x:v>
      </x:c>
      <x:c r="F180" s="22" t="str">
        <x:v>他の使用について、特許権者は、許諾の経済的価値を考慮し、個々の場合における状況に応じ適当な報酬を受けると規定されているが、加盟国は、司法上又は行政上の手続の結果反競争的と決定された行為を是正する目的のために他の使用が許諾される場合には、報酬額の決定に当たり、反競争的な行為を是正する必要性を考慮してはならないと規定されている。</x:v>
      </x:c>
      <x:c r="G180" s="22" t="str">
        <x:v>×</x:v>
      </x:c>
      <x:c r="H180" s="22" t="str">
        <x:v>他の使用について、許諾の経済的価値を考慮し、特許権者は、個々の場合における状況に応じ適当な報酬を受ける（ＴＲＩＰＳ３１条（ｈ））。加盟国は、司法上又は行政上の手続の結果反競争的と決定された行為を是正する目的のために他の使用が許諾される場合には、ＴＲＩＰＳ３１条（ｂ）及び（ｆ）に定める条件を適用する義務を負わない。この場合には、報酬額の決定に当たり、反競争的な行為を是正する必要性を考慮することができる（ＴＲＩＰＳ３１条（ｋ））。これに対して、本枝では「考慮してはならない」とされている。よって、本枝は誤り。</x:v>
      </x:c>
      <x:c r="I180" s="22" t="str">
        <x:v>ＴＲＩＰＳ３１条</x:v>
      </x:c>
      <x:c r="J180" s="22" t="str"/>
      <x:c r="K180" s="22" t="str">
        <x:v>令和2年度短答（TAC過去問）／【条約】10 4／スライド291</x:v>
      </x:c>
      <x:c r="L180" s="22" t="n">
        <x:v>0</x:v>
      </x:c>
      <x:c r="M180" s="22" t="n">
        <x:v>0</x:v>
      </x:c>
      <x:c r="N180" s="23" t="str">
        <x:f>IF(SUM(L180:M180)=0,"",L180/SUM(L180:M180))</x:f>
      </x:c>
      <x:c r="O180" s="22" t="str">
        <x:f>IF(SUM(L180:M180)=0,"NEW",IF(N180&gt;=0.9,"A",IF(N180&gt;=0.75,"B",IF(N180&gt;=0.5,"C","D"))))</x:f>
        <x:v>NEW</x:v>
      </x:c>
      <x:c r="P180" s="22" t="n">
        <x:v>0</x:v>
      </x:c>
      <x:c r="Q180" s="24"/>
      <x:c r="R180" s="24"/>
      <x:c r="S180" s="22" t="str">
        <x:v>原問：知的所有権の貿易関連の側面に関する協定（以下「ＴＲＩＰＳ協定」という。）の第３１条及び第３１条の２で規定する他の使用に関し、次のうち、誤っているものは、どれか。</x:v>
      </x:c>
    </x:row>
    <x:row r="181">
      <x:c r="A181" s="22" t="str">
        <x:v>R02-TR10-5</x:v>
      </x:c>
      <x:c r="B181" s="22" t="str">
        <x:v>条約</x:v>
      </x:c>
      <x:c r="C181" s="22" t="str">
        <x:v>知的所有権の貿易関連の側面</x:v>
      </x:c>
      <x:c r="D181" s="22" t="str">
        <x:v>知的所有権の貿易関連の側面／5</x:v>
      </x:c>
      <x:c r="E181" s="22" t="str">
        <x:v>○×</x:v>
      </x:c>
      <x:c r="F181" s="22" t="str">
        <x:v>他の使用について、特許権者は、許諾の経済的価値を考慮し、個々の場合における状況に応じ適当な報酬を受けると規定されているが、ＴＲＩＰＳ協定の附属書に定める条件に従い、輸出加盟国が、医薬品を生産し、及びそれを輸入する資格を有する加盟国に輸出するために必要な範囲において当該輸出加盟国が強制実施許諾を与える場合には、当該輸出加盟国において許諾されている使用が当該輸入する資格を有する加盟国にとって有する経済的価値を考慮して、個々の場合における状況に応じ、当該輸出加盟国において適当な報酬が支払われると規定されている。</x:v>
      </x:c>
      <x:c r="G181" s="22" t="str">
        <x:v>○</x:v>
      </x:c>
      <x:c r="H181" s="22" t="str">
        <x:v>解説
他の使用を認める場合には、許諾の経済的価値を考慮し、特許権者は、個々の場合における状況に応じ適当な報酬を受けるが（ＴＲＩＰＳ協定３１条（ｈ））、医薬品を生産し、及びそれを輸入する資格を有する加盟国に輸出するために必要な範囲において当該輸出加盟国が強制実施許諾を与える場合には、「当該輸出加盟国において許諾されている使用が輸入する資格を有する加盟国にとって有する経済的価値を考慮して、当該輸出加盟国において個々の場合における状況に応じ適当な報酬が支払われる」【ＴＲＩＰＳ協定３１条の２第２第１文】。よって、正しい。</x:v>
      </x:c>
      <x:c r="I181" s="22" t="str"/>
      <x:c r="J181" s="22" t="str"/>
      <x:c r="K181" s="22" t="str">
        <x:v>令和2年度短答（TAC過去問）／【条約】10 5／スライド292</x:v>
      </x:c>
      <x:c r="L181" s="22" t="n">
        <x:v>0</x:v>
      </x:c>
      <x:c r="M181" s="22" t="n">
        <x:v>0</x:v>
      </x:c>
      <x:c r="N181" s="23" t="str">
        <x:f>IF(SUM(L181:M181)=0,"",L181/SUM(L181:M181))</x:f>
      </x:c>
      <x:c r="O181" s="22" t="str">
        <x:f>IF(SUM(L181:M181)=0,"NEW",IF(N181&gt;=0.9,"A",IF(N181&gt;=0.75,"B",IF(N181&gt;=0.5,"C","D"))))</x:f>
        <x:v>NEW</x:v>
      </x:c>
      <x:c r="P181" s="22" t="n">
        <x:v>0</x:v>
      </x:c>
      <x:c r="Q181" s="24"/>
      <x:c r="R181" s="24"/>
      <x:c r="S181" s="22" t="str">
        <x:v>原問：知的所有権の貿易関連の側面に関する協定（以下「ＴＲＩＰＳ協定」という。）の第３１条及び第３１条の２で規定する他の使用に関し、次のうち、誤っているものは、どれか。</x:v>
      </x:c>
    </x:row>
    <x:row r="182">
      <x:c r="A182" s="22" t="str">
        <x:v>R02-C01-1</x:v>
      </x:c>
      <x:c r="B182" s="22" t="str">
        <x:v>著作権</x:v>
      </x:c>
      <x:c r="C182" s="22" t="str">
        <x:v>著作権法</x:v>
      </x:c>
      <x:c r="D182" s="22" t="str">
        <x:v>著作権法／1</x:v>
      </x:c>
      <x:c r="E182" s="22" t="str">
        <x:v>○×</x:v>
      </x:c>
      <x:c r="F182" s="22" t="str">
        <x:v>年度版用語辞典の紙面の割付け作業を行うためのレイアウト・フォーマット用紙を工夫して作成した場合、当該用語辞典の編集著作物とは別個独立に、レイアウト・フォーマット用紙自体が著作物となる。</x:v>
      </x:c>
      <x:c r="G182" s="22" t="str">
        <x:v>×</x:v>
      </x:c>
      <x:c r="H182" s="22" t="str">
        <x:v>解説
年度版用語辞典の紙面の割付け作業を行うためのレイアウト・フォーマット用紙は、編集著作物である年度版用語辞典の編集過程における紙面の割付け方針を示すものであって、それが知恵蔵の編集過程を離れて独自の創作性を有し独自の表現をもたらすものと認めるべき特段の事情のない限り、それ自体に独立して著作物性を認めることはできない（著２条１項１号、東京高判平１１年１０月２８日「知恵蔵事件」）。よって、本枝は不適切。</x:v>
      </x:c>
      <x:c r="I182" s="22" t="str">
        <x:v>著２条１項１号</x:v>
      </x:c>
      <x:c r="J182" s="22" t="str"/>
      <x:c r="K182" s="22" t="str">
        <x:v>令和2年度短答（TAC過去問）／【著作権法・不正競争防止法】1 1／スライド293</x:v>
      </x:c>
      <x:c r="L182" s="22" t="n">
        <x:v>0</x:v>
      </x:c>
      <x:c r="M182" s="22" t="n">
        <x:v>0</x:v>
      </x:c>
      <x:c r="N182" s="23" t="str">
        <x:f>IF(SUM(L182:M182)=0,"",L182/SUM(L182:M182))</x:f>
      </x:c>
      <x:c r="O182" s="22" t="str">
        <x:f>IF(SUM(L182:M182)=0,"NEW",IF(N182&gt;=0.9,"A",IF(N182&gt;=0.75,"B",IF(N182&gt;=0.5,"C","D"))))</x:f>
        <x:v>NEW</x:v>
      </x:c>
      <x:c r="P182" s="22" t="n">
        <x:v>0</x:v>
      </x:c>
      <x:c r="Q182" s="24"/>
      <x:c r="R182" s="24"/>
      <x:c r="S182" s="22" t="str">
        <x:v>原問：著作権法に関し、次のうち、最も適切なものは、どれか。</x:v>
      </x:c>
    </x:row>
    <x:row r="183">
      <x:c r="A183" s="22" t="str">
        <x:v>R02-C01-3</x:v>
      </x:c>
      <x:c r="B183" s="22" t="str">
        <x:v>著作権</x:v>
      </x:c>
      <x:c r="C183" s="22" t="str">
        <x:v>著作権法</x:v>
      </x:c>
      <x:c r="D183" s="22" t="str">
        <x:v>著作権法／3</x:v>
      </x:c>
      <x:c r="E183" s="22" t="str">
        <x:v>○×</x:v>
      </x:c>
      <x:c r="F183" s="22" t="str">
        <x:v>漫画の著名なキャラクターの名称のみを、Ｔシャツの身頃全面にゴシック体で大書して販売する行為は、当該漫画についての著作権の侵害となる。</x:v>
      </x:c>
      <x:c r="G183" s="22" t="str">
        <x:v>×</x:v>
      </x:c>
      <x:c r="H183" s="22" t="str">
        <x:v>解説
漫画のキャラクターは、漫画の具体的表現から昇華した登場人物の人格ともいうべき抽象的概念であって、具体的表現そのものではなく、それ自体が思想又は感情を創作的に表現したものということはできないため、著作物ということはできない（著２条１項１号、最判平９年７月１７日「ポパイネクタイ事件」）。したがって、キャラクターの名称のみを利用しても、当該漫画についての著作権の侵害にはならない。よって、本枝は不適切。
なお、抽象概念としてのキャラクターには著作権はないが、その具体的表現（具体的なイラストや文章）には著作権が発生する。</x:v>
      </x:c>
      <x:c r="I183" s="22" t="str">
        <x:v>著２条１項１号</x:v>
      </x:c>
      <x:c r="J183" s="22" t="str"/>
      <x:c r="K183" s="22" t="str">
        <x:v>令和2年度短答（TAC過去問）／【著作権法・不正競争防止法】1 3／スライド294</x:v>
      </x:c>
      <x:c r="L183" s="22" t="n">
        <x:v>0</x:v>
      </x:c>
      <x:c r="M183" s="22" t="n">
        <x:v>0</x:v>
      </x:c>
      <x:c r="N183" s="23" t="str">
        <x:f>IF(SUM(L183:M183)=0,"",L183/SUM(L183:M183))</x:f>
      </x:c>
      <x:c r="O183" s="22" t="str">
        <x:f>IF(SUM(L183:M183)=0,"NEW",IF(N183&gt;=0.9,"A",IF(N183&gt;=0.75,"B",IF(N183&gt;=0.5,"C","D"))))</x:f>
        <x:v>NEW</x:v>
      </x:c>
      <x:c r="P183" s="22" t="n">
        <x:v>0</x:v>
      </x:c>
      <x:c r="Q183" s="24"/>
      <x:c r="R183" s="24"/>
      <x:c r="S183" s="22" t="str">
        <x:v>原問：著作権法に関し、次のうち、最も適切なものは、どれか。</x:v>
      </x:c>
    </x:row>
    <x:row r="184">
      <x:c r="A184" s="22" t="str">
        <x:v>R02-C01-4</x:v>
      </x:c>
      <x:c r="B184" s="22" t="str">
        <x:v>著作権</x:v>
      </x:c>
      <x:c r="C184" s="22" t="str">
        <x:v>著作権法</x:v>
      </x:c>
      <x:c r="D184" s="22" t="str">
        <x:v>著作権法／4</x:v>
      </x:c>
      <x:c r="E184" s="22" t="str">
        <x:v>○×</x:v>
      </x:c>
      <x:c r="F184" s="22" t="str">
        <x:v>甲が創作した詩イに、乙が旋律ロをつけて歌曲ハを創作した場合、歌曲ハは、詩イを原著作物とする二次的著作物である。</x:v>
      </x:c>
      <x:c r="G184" s="22" t="str">
        <x:v>×</x:v>
      </x:c>
      <x:c r="H184" s="22" t="str">
        <x:v>解説
二次的著作物とは、「著作物を翻訳し、編曲し、若しくは変形し、又は脚色し、映画化し、その他翻案することにより創作した著作物」をいう【著２条①－１１号】。
従って、歌曲ハは、詩イ自体を翻案したものではなく、旋律ロを別個につけただけのものであるから、詩イと旋律ロは、それぞれが単独で著作物であり、一体として利用される歌曲ハはいわゆる結合著作物であって、二次的著作物とはならない（著２条１項１１号）。よって、本枝は不適切。</x:v>
      </x:c>
      <x:c r="I184" s="22" t="str">
        <x:v>著２条①－１１号、著２条１項１１号</x:v>
      </x:c>
      <x:c r="J184" s="22" t="str"/>
      <x:c r="K184" s="22" t="str">
        <x:v>令和2年度短答（TAC過去問）／【著作権法・不正競争防止法】1 4／スライド295</x:v>
      </x:c>
      <x:c r="L184" s="22" t="n">
        <x:v>0</x:v>
      </x:c>
      <x:c r="M184" s="22" t="n">
        <x:v>0</x:v>
      </x:c>
      <x:c r="N184" s="23" t="str">
        <x:f>IF(SUM(L184:M184)=0,"",L184/SUM(L184:M184))</x:f>
      </x:c>
      <x:c r="O184" s="22" t="str">
        <x:f>IF(SUM(L184:M184)=0,"NEW",IF(N184&gt;=0.9,"A",IF(N184&gt;=0.75,"B",IF(N184&gt;=0.5,"C","D"))))</x:f>
        <x:v>NEW</x:v>
      </x:c>
      <x:c r="P184" s="22" t="n">
        <x:v>0</x:v>
      </x:c>
      <x:c r="Q184" s="24"/>
      <x:c r="R184" s="24"/>
      <x:c r="S184" s="22" t="str">
        <x:v>原問：著作権法に関し、次のうち、最も適切なものは、どれか。</x:v>
      </x:c>
    </x:row>
    <x:row r="185">
      <x:c r="A185" s="22" t="str">
        <x:v>R02-C01-5</x:v>
      </x:c>
      <x:c r="B185" s="22" t="str">
        <x:v>著作権</x:v>
      </x:c>
      <x:c r="C185" s="22" t="str">
        <x:v>著作権法</x:v>
      </x:c>
      <x:c r="D185" s="22" t="str">
        <x:v>著作権法／5</x:v>
      </x:c>
      <x:c r="E185" s="22" t="str">
        <x:v>○×</x:v>
      </x:c>
      <x:c r="F185" s="22" t="str">
        <x:v>展示権は、美術の著作物又はまだ発行されていない写真の著作物について認められるものであり、これらをその原作品により公に展示する権利である。</x:v>
      </x:c>
      <x:c r="G185" s="22" t="str">
        <x:v>○</x:v>
      </x:c>
      <x:c r="H185" s="22" t="str">
        <x:v>解説
著作者は、その美術の著作物又はまだ発行されていない写真の著作物をこれらの原作品により公に展示する権利を専有する（著２５条）。したがって、本枝は条文に即したものである。よって、本枝は適切。</x:v>
      </x:c>
      <x:c r="I185" s="22" t="str">
        <x:v>著２５条</x:v>
      </x:c>
      <x:c r="J185" s="22" t="str"/>
      <x:c r="K185" s="22" t="str">
        <x:v>令和2年度短答（TAC過去問）／【著作権法・不正競争防止法】1 5／スライド296</x:v>
      </x:c>
      <x:c r="L185" s="22" t="n">
        <x:v>0</x:v>
      </x:c>
      <x:c r="M185" s="22" t="n">
        <x:v>0</x:v>
      </x:c>
      <x:c r="N185" s="23" t="str">
        <x:f>IF(SUM(L185:M185)=0,"",L185/SUM(L185:M185))</x:f>
      </x:c>
      <x:c r="O185" s="22" t="str">
        <x:f>IF(SUM(L185:M185)=0,"NEW",IF(N185&gt;=0.9,"A",IF(N185&gt;=0.75,"B",IF(N185&gt;=0.5,"C","D"))))</x:f>
        <x:v>NEW</x:v>
      </x:c>
      <x:c r="P185" s="22" t="n">
        <x:v>0</x:v>
      </x:c>
      <x:c r="Q185" s="24"/>
      <x:c r="R185" s="24"/>
      <x:c r="S185" s="22" t="str">
        <x:v>原問：著作権法に関し、次のうち、最も適切なものは、どれか。</x:v>
      </x:c>
    </x:row>
    <x:row r="186">
      <x:c r="A186" s="22" t="str">
        <x:v>R02-C02-2</x:v>
      </x:c>
      <x:c r="B186" s="22" t="str">
        <x:v>著作権</x:v>
      </x:c>
      <x:c r="C186" s="22" t="str">
        <x:v>著作権法</x:v>
      </x:c>
      <x:c r="D186" s="22" t="str">
        <x:v>著作権法／2</x:v>
      </x:c>
      <x:c r="E186" s="22" t="str">
        <x:v>○×</x:v>
      </x:c>
      <x:c r="F186" s="22" t="str">
        <x:v>聴衆数百人を集めたコンサートで演奏された楽曲について、そのコンサートのプログラムに作曲者として氏名が書かれていた甲は、当該楽曲の著作者として推定される。</x:v>
      </x:c>
      <x:c r="G186" s="22" t="str">
        <x:v>○</x:v>
      </x:c>
      <x:c r="H186" s="22" t="str">
        <x:v>解説
自己の氏名又は名称を著作者名として通常の方法により著作物の原作品に表示し又は著作物の公衆への提供若しくは提示の際に表示している者は、その著作物の著作者と推定される（著１４条）。ここで、「通常の方法による表示」とは、一般に社会慣行として利用される表示場所（演奏会のプログラム等）に、一般人に著作者として認識されうる形で表示することをいう（小倉・金井ⅠＰ．３８１）。したがって、聴衆数百人を集めたコンサートで演奏された楽曲について、そのコンサートのプログラムに作曲者として氏名を書かれていた甲は、当該楽曲の著作者として推定される。よって、本枝は適切。</x:v>
      </x:c>
      <x:c r="I186" s="22" t="str">
        <x:v>著１４条</x:v>
      </x:c>
      <x:c r="J186" s="22" t="str"/>
      <x:c r="K186" s="22" t="str">
        <x:v>令和2年度短答（TAC過去問）／【著作権法・不正競争防止法】2 2／スライド297</x:v>
      </x:c>
      <x:c r="L186" s="22" t="n">
        <x:v>0</x:v>
      </x:c>
      <x:c r="M186" s="22" t="n">
        <x:v>0</x:v>
      </x:c>
      <x:c r="N186" s="23" t="str">
        <x:f>IF(SUM(L186:M186)=0,"",L186/SUM(L186:M186))</x:f>
      </x:c>
      <x:c r="O186" s="22" t="str">
        <x:f>IF(SUM(L186:M186)=0,"NEW",IF(N186&gt;=0.9,"A",IF(N186&gt;=0.75,"B",IF(N186&gt;=0.5,"C","D"))))</x:f>
        <x:v>NEW</x:v>
      </x:c>
      <x:c r="P186" s="22" t="n">
        <x:v>0</x:v>
      </x:c>
      <x:c r="Q186" s="24"/>
      <x:c r="R186" s="24"/>
      <x:c r="S186" s="22" t="str">
        <x:v>原問：著作権法に関し、次のうち、最も不適切なものは、どれか。</x:v>
      </x:c>
    </x:row>
    <x:row r="187">
      <x:c r="A187" s="22" t="str">
        <x:v>R02-C02-4</x:v>
      </x:c>
      <x:c r="B187" s="22" t="str">
        <x:v>著作権</x:v>
      </x:c>
      <x:c r="C187" s="22" t="str">
        <x:v>著作権法</x:v>
      </x:c>
      <x:c r="D187" s="22" t="str">
        <x:v>著作権法／4</x:v>
      </x:c>
      <x:c r="E187" s="22" t="str">
        <x:v>○×</x:v>
      </x:c>
      <x:c r="F187" s="22" t="str">
        <x:v>映画会社甲の従業員である乙が甲における職務として監督した映画イに、上映の際、冒頭部分にタイトルに続き「監督乙」と表示されていた場合、イの著作権は甲に帰属し、著作者人格権は乙が有する。</x:v>
      </x:c>
      <x:c r="G187" s="22" t="str">
        <x:v>○</x:v>
      </x:c>
      <x:c r="H187" s="22" t="str">
        <x:v>解説
法人著作となるためには、法人等が自己の著作の名義の下に公表する必要があり（著１５条１項）、タイトルに続き「監督乙」と表示している以上、この要件を満たさない。したがって、本枝の映画の著作物は法人著作とはならない。とすれば、映画の著作物の全体的形成に創作的に寄与した者である監督乙が著作者となる（著１６条）。しかし、イの著作者乙は、甲の従業員である以上、甲における職務としてイを監督しており、「その著作者が映画製作者に対し当該映画の著作物の製作に参加することを約束している」といえるため、イの著作権は甲に帰属する（著２９条１項）。ただ、この場合でも、「著作者」はあくまで乙であるため、譲渡することができない著作者人格権は乙に帰属する。
したがって、映画会社甲の従業員である乙が甲における職務として監督した映画イに、上映の際、冒頭部分にタイトルに続き「監督乙」と表示されていた場合、イの著作権は甲に帰属し、著作者人格権は乙が有する。よって、本枝は適切。</x:v>
      </x:c>
      <x:c r="I187" s="22" t="str">
        <x:v>著１５条１項、著１６条、著２９条１項</x:v>
      </x:c>
      <x:c r="J187" s="22" t="str"/>
      <x:c r="K187" s="22" t="str">
        <x:v>令和2年度短答（TAC過去問）／【著作権法・不正競争防止法】2 4／スライド298</x:v>
      </x:c>
      <x:c r="L187" s="22" t="n">
        <x:v>0</x:v>
      </x:c>
      <x:c r="M187" s="22" t="n">
        <x:v>0</x:v>
      </x:c>
      <x:c r="N187" s="23" t="str">
        <x:f>IF(SUM(L187:M187)=0,"",L187/SUM(L187:M187))</x:f>
      </x:c>
      <x:c r="O187" s="22" t="str">
        <x:f>IF(SUM(L187:M187)=0,"NEW",IF(N187&gt;=0.9,"A",IF(N187&gt;=0.75,"B",IF(N187&gt;=0.5,"C","D"))))</x:f>
        <x:v>NEW</x:v>
      </x:c>
      <x:c r="P187" s="22" t="n">
        <x:v>0</x:v>
      </x:c>
      <x:c r="Q187" s="24"/>
      <x:c r="R187" s="24"/>
      <x:c r="S187" s="22" t="str">
        <x:v>原問：著作権法に関し、次のうち、最も不適切なものは、どれか。</x:v>
      </x:c>
    </x:row>
    <x:row r="188">
      <x:c r="A188" s="22" t="str">
        <x:v>R02-C03-1</x:v>
      </x:c>
      <x:c r="B188" s="22" t="str">
        <x:v>著作権</x:v>
      </x:c>
      <x:c r="C188" s="22" t="str">
        <x:v>著作権法</x:v>
      </x:c>
      <x:c r="D188" s="22" t="str">
        <x:v>著作権法／1</x:v>
      </x:c>
      <x:c r="E188" s="22" t="str">
        <x:v>○×</x:v>
      </x:c>
      <x:c r="F188" s="22" t="str">
        <x:v>公表された著作物である小説は、学校教育の目的上必要と認められる限度で教科用図書に掲載することができるが、その場合、当該小説の著作者にその旨を通知するとともに、当該小説の著作権者に補償金を支払う必要がある。</x:v>
      </x:c>
      <x:c r="G188" s="22" t="str">
        <x:v>○</x:v>
      </x:c>
      <x:c r="H188" s="22" t="str">
        <x:v>解説
公表された著作物は、学校教育の目的上必要な限度において、教科用図書に掲載することができるが（著３３条１項）、その旨を著作者に通知するとともに、文化庁長官が定める算出方法により算出した補償金を著作権者に支払わなければならない（著３３条２項）。よって、本枝は適切。</x:v>
      </x:c>
      <x:c r="I188" s="22" t="str">
        <x:v>著３３条１項、著３３条２項</x:v>
      </x:c>
      <x:c r="J188" s="22" t="str"/>
      <x:c r="K188" s="22" t="str">
        <x:v>令和2年度短答（TAC過去問）／【著作権法・不正競争防止法】3 1／スライド300</x:v>
      </x:c>
      <x:c r="L188" s="22" t="n">
        <x:v>0</x:v>
      </x:c>
      <x:c r="M188" s="22" t="n">
        <x:v>0</x:v>
      </x:c>
      <x:c r="N188" s="23" t="str">
        <x:f>IF(SUM(L188:M188)=0,"",L188/SUM(L188:M188))</x:f>
      </x:c>
      <x:c r="O188" s="22" t="str">
        <x:f>IF(SUM(L188:M188)=0,"NEW",IF(N188&gt;=0.9,"A",IF(N188&gt;=0.75,"B",IF(N188&gt;=0.5,"C","D"))))</x:f>
        <x:v>NEW</x:v>
      </x:c>
      <x:c r="P188" s="22" t="n">
        <x:v>0</x:v>
      </x:c>
      <x:c r="Q188" s="24"/>
      <x:c r="R188" s="24"/>
      <x:c r="S188" s="22" t="str">
        <x:v>原問：著作権法に関し、次のうち、最も不適切なものは、どれか。</x:v>
      </x:c>
    </x:row>
    <x:row r="189">
      <x:c r="A189" s="22" t="str">
        <x:v>R02-C03-2</x:v>
      </x:c>
      <x:c r="B189" s="22" t="str">
        <x:v>著作権</x:v>
      </x:c>
      <x:c r="C189" s="22" t="str">
        <x:v>著作権法</x:v>
      </x:c>
      <x:c r="D189" s="22" t="str">
        <x:v>著作権法／2</x:v>
      </x:c>
      <x:c r="E189" s="22" t="str">
        <x:v>○×</x:v>
      </x:c>
      <x:c r="F189" s="22" t="str">
        <x:v>公表された著作物である小説については、著作権者の利益を不当に害することとならない場合は、大学の入学試験問題においてその目的上必要と認められる限度で複製することができるが、インターネットを用いた入学試験で公衆送信を行うことはできない。</x:v>
      </x:c>
      <x:c r="G189" s="22" t="str">
        <x:v>×</x:v>
      </x:c>
      <x:c r="H189" s="22" t="str">
        <x:v>解説
公表された著作物については、入学試験その他人の学識技能に関する試験等の目的上必要と認められる限度において、当該試験等の問題として「複製し、又は公衆送信を行うことができる」【著３６条①】。従って、複製のみならず、インターネットを用いた入学試験で公衆送信を行うこともできる。よって、不適切である。
なお、複製の場合に比して公衆送信の与える影響は大きいため、公衆送信については、「当該著作物の種類及び用途並びに当該公衆送信の態様に照らし著作権者の利益を不当に害することとなる場合」には認めないとされている（著３６条①ただし書）。</x:v>
      </x:c>
      <x:c r="I189" s="22" t="str">
        <x:v>著３６条①</x:v>
      </x:c>
      <x:c r="J189" s="22" t="str"/>
      <x:c r="K189" s="22" t="str">
        <x:v>令和2年度短答（TAC過去問）／【著作権法・不正競争防止法】3 2／スライド301</x:v>
      </x:c>
      <x:c r="L189" s="22" t="n">
        <x:v>0</x:v>
      </x:c>
      <x:c r="M189" s="22" t="n">
        <x:v>0</x:v>
      </x:c>
      <x:c r="N189" s="23" t="str">
        <x:f>IF(SUM(L189:M189)=0,"",L189/SUM(L189:M189))</x:f>
      </x:c>
      <x:c r="O189" s="22" t="str">
        <x:f>IF(SUM(L189:M189)=0,"NEW",IF(N189&gt;=0.9,"A",IF(N189&gt;=0.75,"B",IF(N189&gt;=0.5,"C","D"))))</x:f>
        <x:v>NEW</x:v>
      </x:c>
      <x:c r="P189" s="22" t="n">
        <x:v>0</x:v>
      </x:c>
      <x:c r="Q189" s="24"/>
      <x:c r="R189" s="24"/>
      <x:c r="S189" s="22" t="str">
        <x:v>原問：著作権法に関し、次のうち、最も不適切なものは、どれか。</x:v>
      </x:c>
    </x:row>
    <x:row r="190">
      <x:c r="A190" s="22" t="str">
        <x:v>R02-C03-3</x:v>
      </x:c>
      <x:c r="B190" s="22" t="str">
        <x:v>著作権</x:v>
      </x:c>
      <x:c r="C190" s="22" t="str">
        <x:v>著作権法</x:v>
      </x:c>
      <x:c r="D190" s="22" t="str">
        <x:v>著作権法／3</x:v>
      </x:c>
      <x:c r="E190" s="22" t="str">
        <x:v>○×</x:v>
      </x:c>
      <x:c r="F190" s="22" t="str">
        <x:v>期間限定で彫刻の展覧会が屋外で開かれる場合において、美術の著作物である彫刻の原作品の所有者だけでなく、その所有者から同意を得た当該展覧会の主催者も、その彫刻の原作品を公に展示することができる。</x:v>
      </x:c>
      <x:c r="G190" s="22" t="str">
        <x:v>○</x:v>
      </x:c>
      <x:c r="H190" s="22" t="str">
        <x:v>解説
美術の著作物の「原作品の所有者又はその同意を得た者」は、当該著作物をその原作品により公に展示することができる【著４５条①】。
但し、例外として、美術の著作物の原作品を建造物の外壁その他一般公衆の見やすい屋外の場所に「恒常的に」設置する場合には、適用されない【著４５条②】。
従って、屋外で開かれる展覧会であっても、期間限定で行う場合には、恒常的な設置ではないため、著４５条②の適用除外の対象とならず（すなわち、著４５条①が原則通り適用され）、原作品の所有者だけでなく、その所有者から同意を得た当該展覧会の主催者も、著４５条①の原則通り、その彫刻の原作品を公に展示することができる。よって、本枝は適切。</x:v>
      </x:c>
      <x:c r="I190" s="22" t="str">
        <x:v>著４５条①、著４５条②</x:v>
      </x:c>
      <x:c r="J190" s="22" t="str"/>
      <x:c r="K190" s="22" t="str">
        <x:v>令和2年度短答（TAC過去問）／【著作権法・不正競争防止法】3 3／スライド302</x:v>
      </x:c>
      <x:c r="L190" s="22" t="n">
        <x:v>0</x:v>
      </x:c>
      <x:c r="M190" s="22" t="n">
        <x:v>0</x:v>
      </x:c>
      <x:c r="N190" s="23" t="str">
        <x:f>IF(SUM(L190:M190)=0,"",L190/SUM(L190:M190))</x:f>
      </x:c>
      <x:c r="O190" s="22" t="str">
        <x:f>IF(SUM(L190:M190)=0,"NEW",IF(N190&gt;=0.9,"A",IF(N190&gt;=0.75,"B",IF(N190&gt;=0.5,"C","D"))))</x:f>
        <x:v>NEW</x:v>
      </x:c>
      <x:c r="P190" s="22" t="n">
        <x:v>0</x:v>
      </x:c>
      <x:c r="Q190" s="24"/>
      <x:c r="R190" s="24"/>
      <x:c r="S190" s="22" t="str">
        <x:v>原問：著作権法に関し、次のうち、最も不適切なものは、どれか。</x:v>
      </x:c>
    </x:row>
    <x:row r="191">
      <x:c r="A191" s="22" t="str">
        <x:v>R02-C03-4</x:v>
      </x:c>
      <x:c r="B191" s="22" t="str">
        <x:v>著作権</x:v>
      </x:c>
      <x:c r="C191" s="22" t="str">
        <x:v>著作権法</x:v>
      </x:c>
      <x:c r="D191" s="22" t="str">
        <x:v>著作権法／4</x:v>
      </x:c>
      <x:c r="E191" s="22" t="str">
        <x:v>○×</x:v>
      </x:c>
      <x:c r="F191" s="22" t="str">
        <x:v>裁判手続のために必要と認められる場合には、著作権者の利益を不当に害しない限り、その必要と認められる限度において、著作物を複製することができるが、訴訟当事者が多数に上る場合であっても、著作物の公衆送信を行うことはできない。</x:v>
      </x:c>
      <x:c r="G191" s="22" t="str">
        <x:v>×</x:v>
      </x:c>
      <x:c r="H191" s="22" t="str">
        <x:v>解説
裁判手続及び行政審判手続のために必要と認められる場合、著作権者の利益を不当に害しない限り、その必要と認められる限度において、著作物を複製することができる（著４１条の２第１項）。よって、前段は適切である。
また、同条２項には、一定の「裁判手続」及び「行政審判手続」について、電磁的記録を用いて行い、又は映像若しくは音声の送受信を伴って行うもののために必要と認められる限度において、著作権者の利益を不当に害しない限り、著作物の公衆送信等を行うことができる旨規定されている。よって後段も適切である。
したがって、裁判手続においても、同条２項の要件を満たす場合には著作物の公衆送信を行うことができるため、本枝は不適切。</x:v>
      </x:c>
      <x:c r="I191" s="22" t="str">
        <x:v>著４１条の２第１項</x:v>
      </x:c>
      <x:c r="J191" s="22" t="str"/>
      <x:c r="K191" s="22" t="str">
        <x:v>令和2年度短答（TAC過去問）／【著作権法・不正競争防止法】3 4／スライド303</x:v>
      </x:c>
      <x:c r="L191" s="22" t="n">
        <x:v>0</x:v>
      </x:c>
      <x:c r="M191" s="22" t="n">
        <x:v>0</x:v>
      </x:c>
      <x:c r="N191" s="23" t="str">
        <x:f>IF(SUM(L191:M191)=0,"",L191/SUM(L191:M191))</x:f>
      </x:c>
      <x:c r="O191" s="22" t="str">
        <x:f>IF(SUM(L191:M191)=0,"NEW",IF(N191&gt;=0.9,"A",IF(N191&gt;=0.75,"B",IF(N191&gt;=0.5,"C","D"))))</x:f>
        <x:v>NEW</x:v>
      </x:c>
      <x:c r="P191" s="22" t="n">
        <x:v>0</x:v>
      </x:c>
      <x:c r="Q191" s="24"/>
      <x:c r="R191" s="24"/>
      <x:c r="S191" s="22" t="str">
        <x:v>原問：著作権法に関し、次のうち、最も不適切なものは、どれか。</x:v>
      </x:c>
    </x:row>
    <x:row r="192">
      <x:c r="A192" s="22" t="str">
        <x:v>R02-C03-5</x:v>
      </x:c>
      <x:c r="B192" s="22" t="str">
        <x:v>著作権</x:v>
      </x:c>
      <x:c r="C192" s="22" t="str">
        <x:v>著作権法</x:v>
      </x:c>
      <x:c r="D192" s="22" t="str">
        <x:v>著作権法／5</x:v>
      </x:c>
      <x:c r="E192" s="22" t="str">
        <x:v>○×</x:v>
      </x:c>
      <x:c r="F192" s="22" t="str">
        <x:v>他人の小説を引用して、複製以外の方法により利用する際に、その出所を明示しなくてよい場合がある。</x:v>
      </x:c>
      <x:c r="G192" s="22" t="str">
        <x:v>○</x:v>
      </x:c>
      <x:c r="H192" s="22" t="str">
        <x:v>解説
引用して、著作物を複製以外の方法により利用する場合においては、その出所を明示する慣行があるとき（著４８条１項３号）には、著作物の出所を、その利用の態様に応じて合理的と認められる方法及び程度により、明示しなければならない（同項柱書）。
したがって、当該慣行がなければ、出所を明示しなくてもよい場合がある。
また、ここで、当該著作物が無名の著作物（著作物が公表された際に著作者名の表示がない著作物）である場合は、著作者名を表示する必要はない（同条２項、小倉・金井ⅡＰ．３９４）。本枝において、他人の小説が、無名の著作物である場合は、その小説を引用して、複製以外の方法により利用する際に、その出所を明示しなくてもよい。
したがって、他人の小説を引用して、複製以外の方法により利用する際に、その出所を明示しなくてもよい場合がある。よって、本枝は適切。</x:v>
      </x:c>
      <x:c r="I192" s="22" t="str">
        <x:v>著４８条１項３号</x:v>
      </x:c>
      <x:c r="J192" s="22" t="str"/>
      <x:c r="K192" s="22" t="str">
        <x:v>令和2年度短答（TAC過去問）／【著作権法・不正競争防止法】3 5／スライド304</x:v>
      </x:c>
      <x:c r="L192" s="22" t="n">
        <x:v>0</x:v>
      </x:c>
      <x:c r="M192" s="22" t="n">
        <x:v>0</x:v>
      </x:c>
      <x:c r="N192" s="23" t="str">
        <x:f>IF(SUM(L192:M192)=0,"",L192/SUM(L192:M192))</x:f>
      </x:c>
      <x:c r="O192" s="22" t="str">
        <x:f>IF(SUM(L192:M192)=0,"NEW",IF(N192&gt;=0.9,"A",IF(N192&gt;=0.75,"B",IF(N192&gt;=0.5,"C","D"))))</x:f>
        <x:v>NEW</x:v>
      </x:c>
      <x:c r="P192" s="22" t="n">
        <x:v>0</x:v>
      </x:c>
      <x:c r="Q192" s="24"/>
      <x:c r="R192" s="24"/>
      <x:c r="S192" s="22" t="str">
        <x:v>原問：著作権法に関し、次のうち、最も不適切なものは、どれか。</x:v>
      </x:c>
    </x:row>
    <x:row r="193">
      <x:c r="A193" s="22" t="str">
        <x:v>R02-C04-1</x:v>
      </x:c>
      <x:c r="B193" s="22" t="str">
        <x:v>著作権</x:v>
      </x:c>
      <x:c r="C193" s="22" t="str">
        <x:v>著作権法</x:v>
      </x:c>
      <x:c r="D193" s="22" t="str">
        <x:v>著作権法／1</x:v>
      </x:c>
      <x:c r="E193" s="22" t="str">
        <x:v>○×</x:v>
      </x:c>
      <x:c r="F193" s="22" t="str">
        <x:v>フリーランスの映画監督が創作した映画の著作物について、著作権法上の映画の著作物の著作権の帰属に係る規定により、映画製作者に著作権が帰属した場合、当該著作物をその著作権の行使により公衆に提供・提示することについて、当該映画監督は同意したものとみなされる。</x:v>
      </x:c>
      <x:c r="G193" s="22" t="str">
        <x:v>×</x:v>
      </x:c>
      <x:c r="H193" s="22" t="str">
        <x:v>解説
フリーランスの映画監督が創作した映画の著作物について、映画の著作物の著作権の帰属に係る規定（著２９条）により、映画の著作物の著作権が映画製作者に帰属した場合であっても、当該映画の著作物の著作者は当該映画監督である。そして、当該著作物をその著作権の行使により公衆に提供・提示することについて、当該映画監督（著作者）は同意したものと推定される（著１８条２項３号）のであって、みなされるわけではない。よって、本枝は不適切。</x:v>
      </x:c>
      <x:c r="I193" s="22" t="str">
        <x:v>著２９条、著１８条２項３号</x:v>
      </x:c>
      <x:c r="J193" s="22" t="str"/>
      <x:c r="K193" s="22" t="str">
        <x:v>令和2年度短答（TAC過去問）／【著作権法・不正競争防止法】4 1／スライド305</x:v>
      </x:c>
      <x:c r="L193" s="22" t="n">
        <x:v>0</x:v>
      </x:c>
      <x:c r="M193" s="22" t="n">
        <x:v>0</x:v>
      </x:c>
      <x:c r="N193" s="23" t="str">
        <x:f>IF(SUM(L193:M193)=0,"",L193/SUM(L193:M193))</x:f>
      </x:c>
      <x:c r="O193" s="22" t="str">
        <x:f>IF(SUM(L193:M193)=0,"NEW",IF(N193&gt;=0.9,"A",IF(N193&gt;=0.75,"B",IF(N193&gt;=0.5,"C","D"))))</x:f>
        <x:v>NEW</x:v>
      </x:c>
      <x:c r="P193" s="22" t="n">
        <x:v>0</x:v>
      </x:c>
      <x:c r="Q193" s="24"/>
      <x:c r="R193" s="24"/>
      <x:c r="S193" s="22" t="str">
        <x:v>原問：著作権法に関し、次のうち、最も適切なものは、どれか。</x:v>
      </x:c>
    </x:row>
    <x:row r="194">
      <x:c r="A194" s="22" t="str">
        <x:v>R02-C04-3</x:v>
      </x:c>
      <x:c r="B194" s="22" t="str">
        <x:v>著作権</x:v>
      </x:c>
      <x:c r="C194" s="22" t="str">
        <x:v>著作権法</x:v>
      </x:c>
      <x:c r="D194" s="22" t="str">
        <x:v>著作権法／3</x:v>
      </x:c>
      <x:c r="E194" s="22" t="str">
        <x:v>○×</x:v>
      </x:c>
      <x:c r="F194" s="22" t="str">
        <x:v>共同著作物に係る著作者人格権については、その権利行使に著作者全員の合意を必要とし、権利を代表して行使する者を定めることもできない。</x:v>
      </x:c>
      <x:c r="G194" s="22" t="str">
        <x:v>×</x:v>
      </x:c>
      <x:c r="H194" s="22" t="str">
        <x:v>解説
共同著作物に係る著作者人格権については、その権利行使に著作者全員の合意を必要とするが（著６４条１項）共同著作物の著作者のうちから、著作者人格権を代表して行使する者を定めることができる（著６４条３項）。これは権利の譲渡ではなく、成立した共同意思に係る権利行使の代表であるため、著作者人格権の一身専属性（著５９条）とは矛盾しない。よって、本枝は不適切。</x:v>
      </x:c>
      <x:c r="I194" s="22" t="str">
        <x:v>著６４条１項、著６４条３項、著５９条</x:v>
      </x:c>
      <x:c r="J194" s="22" t="str"/>
      <x:c r="K194" s="22" t="str">
        <x:v>令和2年度短答（TAC過去問）／【著作権法・不正競争防止法】4 3／スライド306</x:v>
      </x:c>
      <x:c r="L194" s="22" t="n">
        <x:v>0</x:v>
      </x:c>
      <x:c r="M194" s="22" t="n">
        <x:v>0</x:v>
      </x:c>
      <x:c r="N194" s="23" t="str">
        <x:f>IF(SUM(L194:M194)=0,"",L194/SUM(L194:M194))</x:f>
      </x:c>
      <x:c r="O194" s="22" t="str">
        <x:f>IF(SUM(L194:M194)=0,"NEW",IF(N194&gt;=0.9,"A",IF(N194&gt;=0.75,"B",IF(N194&gt;=0.5,"C","D"))))</x:f>
        <x:v>NEW</x:v>
      </x:c>
      <x:c r="P194" s="22" t="n">
        <x:v>0</x:v>
      </x:c>
      <x:c r="Q194" s="24"/>
      <x:c r="R194" s="24"/>
      <x:c r="S194" s="22" t="str">
        <x:v>原問：著作権法に関し、次のうち、最も適切なものは、どれか。</x:v>
      </x:c>
    </x:row>
    <x:row r="195">
      <x:c r="A195" s="22" t="str">
        <x:v>R02-C04-5</x:v>
      </x:c>
      <x:c r="B195" s="22" t="str">
        <x:v>著作権</x:v>
      </x:c>
      <x:c r="C195" s="22" t="str">
        <x:v>著作権法</x:v>
      </x:c>
      <x:c r="D195" s="22" t="str">
        <x:v>著作権法／5</x:v>
      </x:c>
      <x:c r="E195" s="22" t="str">
        <x:v>○×</x:v>
      </x:c>
      <x:c r="F195" s="22" t="str">
        <x:v>法人が著作者となる場合、法人には遺族が存在しないため、その解散後は、その人格的利益は保護されない。</x:v>
      </x:c>
      <x:c r="G195" s="22" t="str">
        <x:v>×</x:v>
      </x:c>
      <x:c r="H195" s="22" t="str">
        <x:v>解説
著作物を公衆に提供し、又は提示する者は、その著作物の著作者が存しなくなった後においても、著作者が存しているとしたならばその著作者人格権の侵害となるべき行為をしてはならない（著６０条）。同条でいう「著作者が存しなくなった」とは、自然人の死亡、法人の解散を意味する。
また、この著６０条の規定に違反する行為に対する差止請求又は名誉回復措置請求をすることができる者は遺族に限られるため（著１１６条）、法人の解散後において民事上の救済は受けることができない。しかし、「著６０条の規定に違反した者は、５００万円以下の罰金に処せられる」【著１２０条】。
従って、法人の解散後においても、この刑事的措置により、その人格的利益は保護される。よって、本枝は不適切。</x:v>
      </x:c>
      <x:c r="I195" s="22" t="str">
        <x:v>著６０条、著１１６条、著１２０条</x:v>
      </x:c>
      <x:c r="J195" s="22" t="str"/>
      <x:c r="K195" s="22" t="str">
        <x:v>令和2年度短答（TAC過去問）／【著作権法・不正競争防止法】4 5／スライド307</x:v>
      </x:c>
      <x:c r="L195" s="22" t="n">
        <x:v>0</x:v>
      </x:c>
      <x:c r="M195" s="22" t="n">
        <x:v>0</x:v>
      </x:c>
      <x:c r="N195" s="23" t="str">
        <x:f>IF(SUM(L195:M195)=0,"",L195/SUM(L195:M195))</x:f>
      </x:c>
      <x:c r="O195" s="22" t="str">
        <x:f>IF(SUM(L195:M195)=0,"NEW",IF(N195&gt;=0.9,"A",IF(N195&gt;=0.75,"B",IF(N195&gt;=0.5,"C","D"))))</x:f>
        <x:v>NEW</x:v>
      </x:c>
      <x:c r="P195" s="22" t="n">
        <x:v>0</x:v>
      </x:c>
      <x:c r="Q195" s="24"/>
      <x:c r="R195" s="24"/>
      <x:c r="S195" s="22" t="str">
        <x:v>原問：著作権法に関し、次のうち、最も適切なものは、どれか。</x:v>
      </x:c>
    </x:row>
    <x:row r="196">
      <x:c r="A196" s="22" t="str">
        <x:v>R02-C05-1</x:v>
      </x:c>
      <x:c r="B196" s="22" t="str">
        <x:v>著作権</x:v>
      </x:c>
      <x:c r="C196" s="22" t="str">
        <x:v>著作権法</x:v>
      </x:c>
      <x:c r="D196" s="22" t="str">
        <x:v>著作権法／1</x:v>
      </x:c>
      <x:c r="E196" s="22" t="str">
        <x:v>○×</x:v>
      </x:c>
      <x:c r="F196" s="22" t="str">
        <x:v>歌手は、その歌唱が録音された商業用レコードについて貸与権を有するが、レコード製作者は、そのレコードが複製された商業用レコードについて貸与権を有しない。</x:v>
      </x:c>
      <x:c r="G196" s="22" t="str">
        <x:v>×</x:v>
      </x:c>
      <x:c r="H196" s="22" t="str">
        <x:v>解説
「実演家」は、その実演をそれが録音されている商業用レコードの貸与により公衆に提供する権利を専有する【著９５条の３①】。また、「レコード製作者」は、そのレコードをそれが複製されている商業用レコードの貸与により公衆に提供する権利を専有する【著９７条の３①】。従って、実演家である歌手のみならず、レコード製作者も商業用レコードについて貸与権を有する。よって、本枝は不適切。</x:v>
      </x:c>
      <x:c r="I196" s="22" t="str">
        <x:v>著９５条の３①、著９７条の３①</x:v>
      </x:c>
      <x:c r="J196" s="22" t="str"/>
      <x:c r="K196" s="22" t="str">
        <x:v>令和2年度短答（TAC過去問）／【著作権法・不正競争防止法】5 1／スライド308</x:v>
      </x:c>
      <x:c r="L196" s="22" t="n">
        <x:v>0</x:v>
      </x:c>
      <x:c r="M196" s="22" t="n">
        <x:v>0</x:v>
      </x:c>
      <x:c r="N196" s="23" t="str">
        <x:f>IF(SUM(L196:M196)=0,"",L196/SUM(L196:M196))</x:f>
      </x:c>
      <x:c r="O196" s="22" t="str">
        <x:f>IF(SUM(L196:M196)=0,"NEW",IF(N196&gt;=0.9,"A",IF(N196&gt;=0.75,"B",IF(N196&gt;=0.5,"C","D"))))</x:f>
        <x:v>NEW</x:v>
      </x:c>
      <x:c r="P196" s="22" t="n">
        <x:v>0</x:v>
      </x:c>
      <x:c r="Q196" s="24"/>
      <x:c r="R196" s="24"/>
      <x:c r="S196" s="22" t="str">
        <x:v>原問：著作権法に関し、次のうち、最も適切なものは、どれか。</x:v>
      </x:c>
    </x:row>
    <x:row r="197">
      <x:c r="A197" s="22" t="str">
        <x:v>R02-C05-2</x:v>
      </x:c>
      <x:c r="B197" s="22" t="str">
        <x:v>著作権</x:v>
      </x:c>
      <x:c r="C197" s="22" t="str">
        <x:v>著作権法</x:v>
      </x:c>
      <x:c r="D197" s="22" t="str">
        <x:v>著作権法／2</x:v>
      </x:c>
      <x:c r="E197" s="22" t="str">
        <x:v>○×</x:v>
      </x:c>
      <x:c r="F197" s="22" t="str">
        <x:v>未公表の歌唱を無断でインターネット上にアップロードする行為は、歌手の公表権を侵害する。</x:v>
      </x:c>
      <x:c r="G197" s="22" t="str">
        <x:v>×</x:v>
      </x:c>
      <x:c r="H197" s="22" t="str">
        <x:v>解説
歌手のような実演家が有する実演家人格権は、「氏名表示権」と「同一性保持権」だけであり【著８９条①】、公表権は含まれない。
実演家は公表を前提に実演する場合が多いし、また実演は商品として販売されることが多いが、その販売時期等は実演家と製造・販売業者との間の交渉によって定められることが好ましいためである（作花文雄『詳解著作権法』）。
従って、歌手は当該歌唱についての公表権を有しないため、公表権を侵害するということもない。よって本枝は不適切。</x:v>
      </x:c>
      <x:c r="I197" s="22" t="str">
        <x:v>著８９条①</x:v>
      </x:c>
      <x:c r="J197" s="22" t="str"/>
      <x:c r="K197" s="22" t="str">
        <x:v>令和2年度短答（TAC過去問）／【著作権法・不正競争防止法】5 2／スライド310</x:v>
      </x:c>
      <x:c r="L197" s="22" t="n">
        <x:v>0</x:v>
      </x:c>
      <x:c r="M197" s="22" t="n">
        <x:v>0</x:v>
      </x:c>
      <x:c r="N197" s="23" t="str">
        <x:f>IF(SUM(L197:M197)=0,"",L197/SUM(L197:M197))</x:f>
      </x:c>
      <x:c r="O197" s="22" t="str">
        <x:f>IF(SUM(L197:M197)=0,"NEW",IF(N197&gt;=0.9,"A",IF(N197&gt;=0.75,"B",IF(N197&gt;=0.5,"C","D"))))</x:f>
        <x:v>NEW</x:v>
      </x:c>
      <x:c r="P197" s="22" t="n">
        <x:v>0</x:v>
      </x:c>
      <x:c r="Q197" s="24"/>
      <x:c r="R197" s="24"/>
      <x:c r="S197" s="22" t="str">
        <x:v>原問：著作権法に関し、次のうち、最も適切なものは、どれか。</x:v>
      </x:c>
    </x:row>
    <x:row r="198">
      <x:c r="A198" s="22" t="str">
        <x:v>R02-C05-3</x:v>
      </x:c>
      <x:c r="B198" s="22" t="str">
        <x:v>著作権</x:v>
      </x:c>
      <x:c r="C198" s="22" t="str">
        <x:v>著作権法</x:v>
      </x:c>
      <x:c r="D198" s="22" t="str">
        <x:v>著作権法／3</x:v>
      </x:c>
      <x:c r="E198" s="22" t="str">
        <x:v>○×</x:v>
      </x:c>
      <x:c r="F198" s="22" t="str">
        <x:v>歌手は、その歌唱について有線放送権を有するが、歌手の許諾のもとでテレビ放送される歌唱を有線放送する場合には、当該歌手の有線放送権の侵害は成立しない。</x:v>
      </x:c>
      <x:c r="G198" s="22" t="str">
        <x:v>○</x:v>
      </x:c>
      <x:c r="H198" s="22" t="str">
        <x:v>解説
実演家は、その実演を放送・有線放送する権利を専有する（著９２条①）。しかし、放送事業者・有線放送事業者・レコード製作者との間の調整の必要上，例外が多く定められている。実際に実演家の放送権・有線放送権が働くのは，生実演の放送と実演の無許諾録音・録画物の放送・有線放送，及びそれらを受信して行う再放送・再有線放送等に限られている。これは、最初に権利行使をする際に契約で処理をし，その後の利用には権利は及ばないというワンチャンス主義に基づく制限であり（中山信弘「著作権法」）、著９２条１項の規定は、「放送される実演を有線放送する場合には適用されない」【著９２条②－１号】。
従って、歌手の許諾のもとでテレビ放送される歌唱を有線放送する場合には、当該歌手の有線放送権の侵害は成立しない。よって、適切である。
なお、「放送された実演」ではなく「放送される実演」と規定されているのは，放送と同時に有線放送する場合（同時有線再放送）だけを指すという意味である。放送が同時有線再放送される場合に実演家自らが権利処理することは時間的にも難しく，権利の再処理が必要とすると，事実上有線再放送ができなくなること，放送事業者は再放送についての権利があることから，最初に放送される際に，当該放送事業者を通じて自己の利益を確保させることが妥当だからである。</x:v>
      </x:c>
      <x:c r="I198" s="22" t="str">
        <x:v>著９２条①、著９２条１項、著９２条②－１号</x:v>
      </x:c>
      <x:c r="J198" s="22" t="str"/>
      <x:c r="K198" s="22" t="str">
        <x:v>令和2年度短答（TAC過去問）／【著作権法・不正競争防止法】5 3／スライド311-312</x:v>
      </x:c>
      <x:c r="L198" s="22" t="n">
        <x:v>0</x:v>
      </x:c>
      <x:c r="M198" s="22" t="n">
        <x:v>0</x:v>
      </x:c>
      <x:c r="N198" s="23" t="str">
        <x:f>IF(SUM(L198:M198)=0,"",L198/SUM(L198:M198))</x:f>
      </x:c>
      <x:c r="O198" s="22" t="str">
        <x:f>IF(SUM(L198:M198)=0,"NEW",IF(N198&gt;=0.9,"A",IF(N198&gt;=0.75,"B",IF(N198&gt;=0.5,"C","D"))))</x:f>
        <x:v>NEW</x:v>
      </x:c>
      <x:c r="P198" s="22" t="n">
        <x:v>0</x:v>
      </x:c>
      <x:c r="Q198" s="24"/>
      <x:c r="R198" s="24"/>
      <x:c r="S198" s="22" t="str">
        <x:v>原問：著作権法に関し、次のうち、最も適切なものは、どれか。</x:v>
      </x:c>
    </x:row>
    <x:row r="199">
      <x:c r="A199" s="22" t="str">
        <x:v>R02-C05-4</x:v>
      </x:c>
      <x:c r="B199" s="22" t="str">
        <x:v>著作権</x:v>
      </x:c>
      <x:c r="C199" s="22" t="str">
        <x:v>著作権法</x:v>
      </x:c>
      <x:c r="D199" s="22" t="str">
        <x:v>著作権法／4</x:v>
      </x:c>
      <x:c r="E199" s="22" t="str">
        <x:v>○×</x:v>
      </x:c>
      <x:c r="F199" s="22" t="str">
        <x:v>俳優の演技について、そのせりふの音声を外国語に吹き替える行為は、実演家の名誉声望を害さない態様であっても、当該俳優の同一性保持権の侵害となる。</x:v>
      </x:c>
      <x:c r="G199" s="22" t="str">
        <x:v>×</x:v>
      </x:c>
      <x:c r="H199" s="22" t="str">
        <x:v>実演家は、その実演の同一性を保持する権利を有し、「自己の名誉又は声望を害する」その実演の変更、切除その他の改変を受けないものとする【著９０条の３①】。従って、実演家の名誉声望を害さない態様であれば、当該俳優の同一性保持権の侵害とはならない。よって、不適切である。
なお、著作者と比較すると、実演家の同一性保持権のほうが原則は狭く、例外は広く規定されている。この相違は、実演は編集したり部分的に利用したりする必要から改変を加えなければならない場合が多く、実演が商品として円滑に利用されるためには、同一性保持権の制限を広く認めることが必要であると考えられることに由来する。つまり実演家の同一性保持権の保護範囲は狭く、社会における客観的評価が低下するような態様（名誉又は声望を害するような場合）での改変が侵害となり、個人的な名誉感情は保護の対象にならない（中山信弘「著作権法」）。</x:v>
      </x:c>
      <x:c r="I199" s="22" t="str">
        <x:v>著９０条の３①</x:v>
      </x:c>
      <x:c r="J199" s="22" t="str"/>
      <x:c r="K199" s="22" t="str">
        <x:v>令和2年度短答（TAC過去問）／【著作権法・不正競争防止法】5 4／スライド313</x:v>
      </x:c>
      <x:c r="L199" s="22" t="n">
        <x:v>0</x:v>
      </x:c>
      <x:c r="M199" s="22" t="n">
        <x:v>0</x:v>
      </x:c>
      <x:c r="N199" s="23" t="str">
        <x:f>IF(SUM(L199:M199)=0,"",L199/SUM(L199:M199))</x:f>
      </x:c>
      <x:c r="O199" s="22" t="str">
        <x:f>IF(SUM(L199:M199)=0,"NEW",IF(N199&gt;=0.9,"A",IF(N199&gt;=0.75,"B",IF(N199&gt;=0.5,"C","D"))))</x:f>
        <x:v>NEW</x:v>
      </x:c>
      <x:c r="P199" s="22" t="n">
        <x:v>0</x:v>
      </x:c>
      <x:c r="Q199" s="24"/>
      <x:c r="R199" s="24"/>
      <x:c r="S199" s="22" t="str">
        <x:v>原問：著作権法に関し、次のうち、最も適切なものは、どれか。</x:v>
      </x:c>
    </x:row>
    <x:row r="200">
      <x:c r="A200" s="22" t="str">
        <x:v>R02-C05-5</x:v>
      </x:c>
      <x:c r="B200" s="22" t="str">
        <x:v>著作権</x:v>
      </x:c>
      <x:c r="C200" s="22" t="str">
        <x:v>著作権法</x:v>
      </x:c>
      <x:c r="D200" s="22" t="str">
        <x:v>著作権法／5</x:v>
      </x:c>
      <x:c r="E200" s="22" t="str">
        <x:v>○×</x:v>
      </x:c>
      <x:c r="F200" s="22" t="str">
        <x:v>実演家人格権は、実演家の著作隣接権の存続期間の満了とともに消滅する。</x:v>
      </x:c>
      <x:c r="G200" s="22" t="str">
        <x:v>×</x:v>
      </x:c>
      <x:c r="H200" s="22" t="str">
        <x:v>実演家人格権は、「実演家の一身に専属する」【著１０１条の２】。従って、実演家人格権は、実演家の著作隣接権の存続期間の満了（著１０１条）とともに消滅するのではなく、実演家の死亡により消滅する。よって、不適切である。</x:v>
      </x:c>
      <x:c r="I200" s="22" t="str">
        <x:v>著１０１条の２、著１０１条</x:v>
      </x:c>
      <x:c r="J200" s="22" t="str"/>
      <x:c r="K200" s="22" t="str">
        <x:v>令和2年度短答（TAC過去問）／【著作権法・不正競争防止法】5 5／スライド314</x:v>
      </x:c>
      <x:c r="L200" s="22" t="n">
        <x:v>0</x:v>
      </x:c>
      <x:c r="M200" s="22" t="n">
        <x:v>0</x:v>
      </x:c>
      <x:c r="N200" s="23" t="str">
        <x:f>IF(SUM(L200:M200)=0,"",L200/SUM(L200:M200))</x:f>
      </x:c>
      <x:c r="O200" s="22" t="str">
        <x:f>IF(SUM(L200:M200)=0,"NEW",IF(N200&gt;=0.9,"A",IF(N200&gt;=0.75,"B",IF(N200&gt;=0.5,"C","D"))))</x:f>
        <x:v>NEW</x:v>
      </x:c>
      <x:c r="P200" s="22" t="n">
        <x:v>0</x:v>
      </x:c>
      <x:c r="Q200" s="24"/>
      <x:c r="R200" s="24"/>
      <x:c r="S200" s="22" t="str">
        <x:v>原問：著作権法に関し、次のうち、最も適切なものは、どれか。</x:v>
      </x:c>
    </x:row>
    <x:row r="201">
      <x:c r="A201" s="22" t="str">
        <x:v>R02-U06-1</x:v>
      </x:c>
      <x:c r="B201" s="22" t="str">
        <x:v>不正競争防止法</x:v>
      </x:c>
      <x:c r="C201" s="22" t="str">
        <x:v>不正競争防止法第２条第１項第３号の不正競争（商品形態の模倣に係る不正競争）</x:v>
      </x:c>
      <x:c r="D201" s="22" t="str">
        <x:v>不正競争防止法第２条第１項第３号の不正競争（商品形態の模倣に係る不正競争）／1</x:v>
      </x:c>
      <x:c r="E201" s="22" t="str">
        <x:v>○×</x:v>
      </x:c>
      <x:c r="F201" s="22" t="str">
        <x:v>甲が製品開発のための試験研究の目的で、乙の商品である爪切りの形態を模倣した爪切りを製造する行為は、不正競争に該当する。</x:v>
      </x:c>
      <x:c r="G201" s="22" t="str">
        <x:v>×</x:v>
      </x:c>
      <x:c r="H201" s="22" t="str">
        <x:v>不競２条①－３号の不正競争は、他人の商品の形態を模倣した商品を「譲渡し、貸し渡し、譲渡若しくは貸渡しのために展示し、輸出し、又は輸入」する行為をいい、製造行為は対象とならない【不競２条①－３号】。模倣行為自体を対象とすると試験研究のための模倣行為まで対象とされる等規制が過度になり、妥当ではないからである（逐条不競ｐ．８４参照）。従って、製品開発のための試験研究の目的で、爪切りの形態を模倣した爪切りを製造する行為は、不正競争に該当しない。よって、不適切である。
なお、本号では、意匠法等にならい、「貸し渡し」「貸渡しのために展示し」を対象となる行為としている。「貸し渡し」とは、単なる占有の移転ではなく、賃借権などの権利を設定した上での占有の移転をいう。これは、他人の商品形態を模倣した商品の提供行為の規制が事業者の営業上の利益を保護するものであることによるものである。
これに対して、混同惹起行為の規制は一般公衆の混同を防ぐ趣旨をも含むものであるから、物の現実的な支配の移転である「引き渡し」又は「引渡しのために展示し」の段階で差止めを認めることとしたものである（逐条不競ｐ．８４参照）。</x:v>
      </x:c>
      <x:c r="I201" s="22" t="str">
        <x:v>不競２条①－３号</x:v>
      </x:c>
      <x:c r="J201" s="22" t="str"/>
      <x:c r="K201" s="22" t="str">
        <x:v>令和2年度短答（TAC過去問）／【著作権法・不正競争防止法】6 1／スライド316-317</x:v>
      </x:c>
      <x:c r="L201" s="22" t="n">
        <x:v>0</x:v>
      </x:c>
      <x:c r="M201" s="22" t="n">
        <x:v>0</x:v>
      </x:c>
      <x:c r="N201" s="23" t="str">
        <x:f>IF(SUM(L201:M201)=0,"",L201/SUM(L201:M201))</x:f>
      </x:c>
      <x:c r="O201" s="22" t="str">
        <x:f>IF(SUM(L201:M201)=0,"NEW",IF(N201&gt;=0.9,"A",IF(N201&gt;=0.75,"B",IF(N201&gt;=0.5,"C","D"))))</x:f>
        <x:v>NEW</x:v>
      </x:c>
      <x:c r="P201" s="22" t="n">
        <x:v>0</x:v>
      </x:c>
      <x:c r="Q201" s="24"/>
      <x:c r="R201" s="24"/>
      <x:c r="S201" s="22" t="str">
        <x:v>原問：不正競争防止法第２条第１項第３号の不正競争（商品形態の模倣に係る不正競争）に関し、次のうち、最も適切なものは、どれか。</x:v>
      </x:c>
    </x:row>
    <x:row r="202">
      <x:c r="A202" s="22" t="str">
        <x:v>R02-U06-2</x:v>
      </x:c>
      <x:c r="B202" s="22" t="str">
        <x:v>不正競争防止法</x:v>
      </x:c>
      <x:c r="C202" s="22" t="str">
        <x:v>不正競争防止法第２条第１項第３号の不正競争（商品形態の模倣に係る不正競争）</x:v>
      </x:c>
      <x:c r="D202" s="22" t="str">
        <x:v>不正競争防止法第２条第１項第３号の不正競争（商品形態の模倣に係る不正競争）／2</x:v>
      </x:c>
      <x:c r="E202" s="22" t="str">
        <x:v>○×</x:v>
      </x:c>
      <x:c r="F202" s="22" t="str">
        <x:v>甲と乙とが共同して商品の形態を開発した場合において、乙が、甲との契約に反してその同意を得ずに当該商品を販売することは、不正競争に該当する。</x:v>
      </x:c>
      <x:c r="G202" s="22" t="str">
        <x:v>×</x:v>
      </x:c>
      <x:c r="H202" s="22" t="str">
        <x:v>不競２条①－３号の不正競争は、「他人」の商品の形態を模倣した商品を譲渡等する行為をいう【不競２条①－３号】。従って、共同して商品を開発した者など、商品を市場に置くに際し、費用や労力を投下した者にとっては、当該商品は「他人の商品」ではないため、本号の不正競争に該当しない（逐条不競ｐ．８４参照／東京地判Ｈ１２．７．１２「猫の手シミュレーションゲーム事件」参照）。よって、不適切である。</x:v>
      </x:c>
      <x:c r="I202" s="22" t="str">
        <x:v>不競２条①－３号</x:v>
      </x:c>
      <x:c r="J202" s="22" t="str"/>
      <x:c r="K202" s="22" t="str">
        <x:v>令和2年度短答（TAC過去問）／【著作権法・不正競争防止法】6 2／スライド318</x:v>
      </x:c>
      <x:c r="L202" s="22" t="n">
        <x:v>0</x:v>
      </x:c>
      <x:c r="M202" s="22" t="n">
        <x:v>0</x:v>
      </x:c>
      <x:c r="N202" s="23" t="str">
        <x:f>IF(SUM(L202:M202)=0,"",L202/SUM(L202:M202))</x:f>
      </x:c>
      <x:c r="O202" s="22" t="str">
        <x:f>IF(SUM(L202:M202)=0,"NEW",IF(N202&gt;=0.9,"A",IF(N202&gt;=0.75,"B",IF(N202&gt;=0.5,"C","D"))))</x:f>
        <x:v>NEW</x:v>
      </x:c>
      <x:c r="P202" s="22" t="n">
        <x:v>0</x:v>
      </x:c>
      <x:c r="Q202" s="24"/>
      <x:c r="R202" s="24"/>
      <x:c r="S202" s="22" t="str">
        <x:v>原問：不正競争防止法第２条第１項第３号の不正競争（商品形態の模倣に係る不正競争）に関し、次のうち、最も適切なものは、どれか。</x:v>
      </x:c>
    </x:row>
    <x:row r="203">
      <x:c r="A203" s="22" t="str">
        <x:v>R02-U06-3</x:v>
      </x:c>
      <x:c r="B203" s="22" t="str">
        <x:v>不正競争防止法</x:v>
      </x:c>
      <x:c r="C203" s="22" t="str">
        <x:v>不正競争防止法第２条第１項第３号の不正競争（商品形態の模倣に係る不正競争）</x:v>
      </x:c>
      <x:c r="D203" s="22" t="str">
        <x:v>不正競争防止法第２条第１項第３号の不正競争（商品形態の模倣に係る不正競争）／3</x:v>
      </x:c>
      <x:c r="E203" s="22" t="str">
        <x:v>○×</x:v>
      </x:c>
      <x:c r="F203" s="22" t="str">
        <x:v>甲が新たなデザインの着物姿の着せ替え人形を開発し、販売している場合において、人形用の衣服を販売している業者である乙が、甲の人形の当該着物を模倣した人形用の着物を販売することは、不正競争に該当する。</x:v>
      </x:c>
      <x:c r="G203" s="22" t="str">
        <x:v>○</x:v>
      </x:c>
      <x:c r="H203" s="22" t="str">
        <x:v>不競法２条１項３号は、他人の商品の形態を模倣した商品を譲渡等する行為を不正競争と定めている。「模倣する」とは、「他人の商品に依拠して」、これと実質的に同一の形態の商品を作り出すことをいう【不競２条⑤】。
商品の部品についても、その部品自体が独立に取引の対象となっている場合には、「商品の形態」として保護が及ぶ（経済産業省「逐条解説」）。
本問では、着せ替え人形の着物は、人形本体とは別に独立した取引の対象となり得るものである。したがって、乙が甲の人形の着物の形態に依拠し、実質的に同一の形態の人形用着物を作り出して販売する行為は、他の要件を満たし、適用除外に該当しない限り、不競法２条１項３号の不正競争に該当する。よって、本枝は適切である。</x:v>
      </x:c>
      <x:c r="I203" s="22" t="str">
        <x:v>不競２条⑤</x:v>
      </x:c>
      <x:c r="J203" s="22" t="str"/>
      <x:c r="K203" s="22" t="str">
        <x:v>令和2年度短答（TAC過去問）／【著作権法・不正競争防止法】6 3／スライド319</x:v>
      </x:c>
      <x:c r="L203" s="22" t="n">
        <x:v>0</x:v>
      </x:c>
      <x:c r="M203" s="22" t="n">
        <x:v>0</x:v>
      </x:c>
      <x:c r="N203" s="23" t="str">
        <x:f>IF(SUM(L203:M203)=0,"",L203/SUM(L203:M203))</x:f>
      </x:c>
      <x:c r="O203" s="22" t="str">
        <x:f>IF(SUM(L203:M203)=0,"NEW",IF(N203&gt;=0.9,"A",IF(N203&gt;=0.75,"B",IF(N203&gt;=0.5,"C","D"))))</x:f>
        <x:v>NEW</x:v>
      </x:c>
      <x:c r="P203" s="22" t="n">
        <x:v>0</x:v>
      </x:c>
      <x:c r="Q203" s="24"/>
      <x:c r="R203" s="24"/>
      <x:c r="S203" s="22" t="str">
        <x:v>原問：不正競争防止法第２条第１項第３号の不正競争（商品形態の模倣に係る不正競争）に関し、次のうち、最も適切なものは、どれか。</x:v>
      </x:c>
    </x:row>
    <x:row r="204">
      <x:c r="A204" s="22" t="str">
        <x:v>R02-U06-4</x:v>
      </x:c>
      <x:c r="B204" s="22" t="str">
        <x:v>不正競争防止法</x:v>
      </x:c>
      <x:c r="C204" s="22" t="str">
        <x:v>不正競争防止法第２条第１項第３号の不正競争（商品形態の模倣に係る不正競争）</x:v>
      </x:c>
      <x:c r="D204" s="22" t="str">
        <x:v>不正競争防止法第２条第１項第３号の不正競争（商品形態の模倣に係る不正競争）／4</x:v>
      </x:c>
      <x:c r="E204" s="22" t="str">
        <x:v>○×</x:v>
      </x:c>
      <x:c r="F204" s="22" t="str">
        <x:v>同一の商品について開発競争をしていた甲と乙が、実質的に同一の形態の商品を互いの商品に依拠することなく作り出すに至った場合、甲が乙よりも先に販売行為を行ったとすれば、乙が当該商品を販売することは、不正競争に該当する。</x:v>
      </x:c>
      <x:c r="G204" s="22" t="str">
        <x:v>×</x:v>
      </x:c>
      <x:c r="H204" s="22" t="str">
        <x:v>「他人の商品の形態（当該商品の機能を確保するために不可欠な形態を除く。）を模倣した商品」を譲渡等する行為が不正競争に該当し【不競２条①－３号】、「模倣する」とは、「他人の商品に依拠して」、これと実質的に同一の形態の商品を作り出すことをいう【不競２条⑤】。
従って、実質的に同一の形態の商品であっても、互いの商品に依拠することなく作り出している以上、「模倣」には該当せず、販売の先行を問わず、不正競争行為には該当しない。よって、不適切である。</x:v>
      </x:c>
      <x:c r="I204" s="22" t="str">
        <x:v>不競２条①－３号、不競２条⑤</x:v>
      </x:c>
      <x:c r="J204" s="22" t="str"/>
      <x:c r="K204" s="22" t="str">
        <x:v>令和2年度短答（TAC過去問）／【著作権法・不正競争防止法】6 4／スライド320</x:v>
      </x:c>
      <x:c r="L204" s="22" t="n">
        <x:v>0</x:v>
      </x:c>
      <x:c r="M204" s="22" t="n">
        <x:v>0</x:v>
      </x:c>
      <x:c r="N204" s="23" t="str">
        <x:f>IF(SUM(L204:M204)=0,"",L204/SUM(L204:M204))</x:f>
      </x:c>
      <x:c r="O204" s="22" t="str">
        <x:f>IF(SUM(L204:M204)=0,"NEW",IF(N204&gt;=0.9,"A",IF(N204&gt;=0.75,"B",IF(N204&gt;=0.5,"C","D"))))</x:f>
        <x:v>NEW</x:v>
      </x:c>
      <x:c r="P204" s="22" t="n">
        <x:v>0</x:v>
      </x:c>
      <x:c r="Q204" s="24"/>
      <x:c r="R204" s="24"/>
      <x:c r="S204" s="22" t="str">
        <x:v>原問：不正競争防止法第２条第１項第３号の不正競争（商品形態の模倣に係る不正競争）に関し、次のうち、最も適切なものは、どれか。</x:v>
      </x:c>
    </x:row>
    <x:row r="205">
      <x:c r="A205" s="22" t="str">
        <x:v>R02-U06-5</x:v>
      </x:c>
      <x:c r="B205" s="22" t="str">
        <x:v>不正競争防止法</x:v>
      </x:c>
      <x:c r="C205" s="22" t="str">
        <x:v>不正競争防止法第２条第１項第３号の不正競争（商品形態の模倣に係る不正競争）</x:v>
      </x:c>
      <x:c r="D205" s="22" t="str">
        <x:v>不正競争防止法第２条第１項第３号の不正競争（商品形態の模倣に係る不正競争）／5</x:v>
      </x:c>
      <x:c r="E205" s="22" t="str">
        <x:v>○×</x:v>
      </x:c>
      <x:c r="F205" s="22" t="str">
        <x:v>甲の開発したロボットＡの形態を模倣した商品Ｂを、商品ＢがロボットＡの模倣品であることを知りながら譲り受けた乙が、商品Ｂを消費者向けにレンタルする営業を行うことは、不正競争に該当しない。</x:v>
      </x:c>
      <x:c r="G205" s="22" t="str">
        <x:v>×</x:v>
      </x:c>
      <x:c r="H205" s="22" t="str">
        <x:v>他人の商品の形態を模倣した商品を貸し渡すことは、不正競争となる（不競２条１項３号）。また、不競２条①－３号に掲げる不正競争において、他人の商品の形態を模倣した商品を譲り受けた者「（その譲り受けた時にその商品が他人の商品の形態を模倣した商品であることを知らず、かつ、知らないことにつき重大な過失がない者に限る。）」がその商品を貸し渡す行為については、適用されない【不競１９条①－５号ロ】。
従って、乙は、譲り受けた時点で模倣した商品であることを知っているため、適用除外の対象とならず、不正競争に該当する。よって、不適切である。</x:v>
      </x:c>
      <x:c r="I205" s="22" t="str">
        <x:v>不競２条１項３号、不競２条①－３号、不競１９条①－５号</x:v>
      </x:c>
      <x:c r="J205" s="22" t="str"/>
      <x:c r="K205" s="22" t="str">
        <x:v>令和2年度短答（TAC過去問）／【著作権法・不正競争防止法】6 5／スライド321</x:v>
      </x:c>
      <x:c r="L205" s="22" t="n">
        <x:v>0</x:v>
      </x:c>
      <x:c r="M205" s="22" t="n">
        <x:v>0</x:v>
      </x:c>
      <x:c r="N205" s="23" t="str">
        <x:f>IF(SUM(L205:M205)=0,"",L205/SUM(L205:M205))</x:f>
      </x:c>
      <x:c r="O205" s="22" t="str">
        <x:f>IF(SUM(L205:M205)=0,"NEW",IF(N205&gt;=0.9,"A",IF(N205&gt;=0.75,"B",IF(N205&gt;=0.5,"C","D"))))</x:f>
        <x:v>NEW</x:v>
      </x:c>
      <x:c r="P205" s="22" t="n">
        <x:v>0</x:v>
      </x:c>
      <x:c r="Q205" s="24"/>
      <x:c r="R205" s="24"/>
      <x:c r="S205" s="22" t="str">
        <x:v>原問：不正競争防止法第２条第１項第３号の不正競争（商品形態の模倣に係る不正競争）に関し、次のうち、最も適切なものは、どれか。</x:v>
      </x:c>
    </x:row>
    <x:row r="206">
      <x:c r="A206" s="22" t="str">
        <x:v>R02-U07-2</x:v>
      </x:c>
      <x:c r="B206" s="22" t="str">
        <x:v>不正競争防止法</x:v>
      </x:c>
      <x:c r="C206" s="22" t="str">
        <x:v>不正競争防止法上の不正競争</x:v>
      </x:c>
      <x:c r="D206" s="22" t="str">
        <x:v>不正競争防止法上の不正競争／2</x:v>
      </x:c>
      <x:c r="E206" s="22" t="str">
        <x:v>○×</x:v>
      </x:c>
      <x:c r="F206" s="22" t="str">
        <x:v>病院の経営において使用される営業の表示は、不正競争防止法第２条第１項第１号の商品等表示に含まれる。</x:v>
      </x:c>
      <x:c r="G206" s="22" t="str">
        <x:v>○</x:v>
      </x:c>
      <x:c r="H206" s="22" t="str">
        <x:v>他人の「商品等表示」とは、人の業務に係る氏名、商号、商標、標章、商品の容器・包装その他の商品又は営業を表示するものをいう【不競２条①－１号かっこ書】。ここで、「営業」とは、単に営利を直接の目的として行われる事業に限らず、広く経済収支上の計算の上に立って行われる事業一般を含み、事業に営利性は要求されない（経済産業省「逐条解説」、東京地判昭３７年１１月２８日「京橋中央病院事件」）。例えば、病院経営については「営業」に該当し（経済産業省「逐条解説」）、病院の経営において使用される営業の表示も「商品等表示」に含まれる。よって、本枝は適切。</x:v>
      </x:c>
      <x:c r="I206" s="22" t="str">
        <x:v>不競２条①－１号</x:v>
      </x:c>
      <x:c r="J206" s="22" t="str"/>
      <x:c r="K206" s="22" t="str">
        <x:v>令和2年度短答（TAC過去問）／【著作権法・不正競争防止法】7 2／スライド322</x:v>
      </x:c>
      <x:c r="L206" s="22" t="n">
        <x:v>0</x:v>
      </x:c>
      <x:c r="M206" s="22" t="n">
        <x:v>0</x:v>
      </x:c>
      <x:c r="N206" s="23" t="str">
        <x:f>IF(SUM(L206:M206)=0,"",L206/SUM(L206:M206))</x:f>
      </x:c>
      <x:c r="O206" s="22" t="str">
        <x:f>IF(SUM(L206:M206)=0,"NEW",IF(N206&gt;=0.9,"A",IF(N206&gt;=0.75,"B",IF(N206&gt;=0.5,"C","D"))))</x:f>
        <x:v>NEW</x:v>
      </x:c>
      <x:c r="P206" s="22" t="n">
        <x:v>0</x:v>
      </x:c>
      <x:c r="Q206" s="24"/>
      <x:c r="R206" s="24"/>
      <x:c r="S206" s="22" t="str">
        <x:v>原問：不正競争防止法上の不正競争に関し、次のうち、最も適切なものは、どれか。</x:v>
      </x:c>
    </x:row>
    <x:row r="207">
      <x:c r="A207" s="22" t="str">
        <x:v>R02-U07-4</x:v>
      </x:c>
      <x:c r="B207" s="22" t="str">
        <x:v>不正競争防止法</x:v>
      </x:c>
      <x:c r="C207" s="22" t="str">
        <x:v>不正競争防止法上の不正競争</x:v>
      </x:c>
      <x:c r="D207" s="22" t="str">
        <x:v>不正競争防止法上の不正競争／4</x:v>
      </x:c>
      <x:c r="E207" s="22" t="str">
        <x:v>○×</x:v>
      </x:c>
      <x:c r="F207" s="22" t="str">
        <x:v>甲が、米国で周知である乙の商品等表示を日本国内で無断で事業に使用し、乙の信用に基づいて当該事業の日本国内における信用が形成された場合、甲は、当該表示について自己の商品等表示として不正競争防止法第２条第１項第１号により保護を受けることができる。</x:v>
      </x:c>
      <x:c r="G207" s="22" t="str">
        <x:v>×</x:v>
      </x:c>
      <x:c r="H207" s="22" t="str">
        <x:v>第三者の商品等表示を冒用している場合には、商品等表示（不競２条１項１号）の主体にはなりえない（経済産業省「逐条解説」）。本枝では、甲は、第三者乙の商品等表示を無断で使用（冒用）している。したがって、甲は、当該表示について自己の商品等表示として不競２条１項１号により保護を受けることはできない。よって、本枝は不適切。
なお、甲が保護されないからといって、直ちに乙が日本国内で保護されるわけではない。不競法１号・２号の周知性・著名性は日本国内基準が原則であるため、米国でのみ周知の乙の表示を甲が日本で無断使用し、日本では甲側に信用が形成された場合、乙自身も１号・２号での差止は困難である。仮に、甲が乙の代理人等なら２条１項２２号で保護され得る。
不正競争防止法上の不正競争に関し、次のうち、最も適切なものは、どれか。</x:v>
      </x:c>
      <x:c r="I207" s="22" t="str">
        <x:v>不競２条１項１号</x:v>
      </x:c>
      <x:c r="J207" s="22" t="str"/>
      <x:c r="K207" s="22" t="str">
        <x:v>令和2年度短答（TAC過去問）／【著作権法・不正競争防止法】7 4／スライド323</x:v>
      </x:c>
      <x:c r="L207" s="22" t="n">
        <x:v>0</x:v>
      </x:c>
      <x:c r="M207" s="22" t="n">
        <x:v>0</x:v>
      </x:c>
      <x:c r="N207" s="23" t="str">
        <x:f>IF(SUM(L207:M207)=0,"",L207/SUM(L207:M207))</x:f>
      </x:c>
      <x:c r="O207" s="22" t="str">
        <x:f>IF(SUM(L207:M207)=0,"NEW",IF(N207&gt;=0.9,"A",IF(N207&gt;=0.75,"B",IF(N207&gt;=0.5,"C","D"))))</x:f>
        <x:v>NEW</x:v>
      </x:c>
      <x:c r="P207" s="22" t="n">
        <x:v>0</x:v>
      </x:c>
      <x:c r="Q207" s="24"/>
      <x:c r="R207" s="24"/>
      <x:c r="S207" s="22" t="str">
        <x:v>原問：不正競争防止法上の不正競争に関し、次のうち、最も適切なものは、どれか。</x:v>
      </x:c>
    </x:row>
    <x:row r="208">
      <x:c r="A208" s="22" t="str">
        <x:v>R02-U07-5</x:v>
      </x:c>
      <x:c r="B208" s="22" t="str">
        <x:v>不正競争防止法</x:v>
      </x:c>
      <x:c r="C208" s="22" t="str">
        <x:v>不正競争防止法上の不正競争</x:v>
      </x:c>
      <x:c r="D208" s="22" t="str">
        <x:v>不正競争防止法上の不正競争／5</x:v>
      </x:c>
      <x:c r="E208" s="22" t="str">
        <x:v>○×</x:v>
      </x:c>
      <x:c r="F208" s="22" t="str">
        <x:v>無体物であるタイプフェイス（印刷用書体）は、不正競争防止法第２条第１項第１号の商品等表示における商品には含まれない。</x:v>
      </x:c>
      <x:c r="G208" s="22" t="str">
        <x:v>×</x:v>
      </x:c>
      <x:c r="H208" s="22" t="str">
        <x:v>「商品」とは、市場における流通の対象物となる有体物又は無体物をいう（逐条不競ｐ．６４参照）。公正な取引秩序の維持、確立という同法の目的からすれば、商品の意義を有体物に限定する合理的理由は見出し難く、経済的な価値が社会的に承認され、独立して取引の対象とされているものについて、無体物であることを理由に不正競争防止法の適用を否定するのは相当でない（東京高決Ｈ５．１２．２４「モリサワタイプフェイス事件」参照）。従って、無体物であるタイプフェイス（印刷用書体）も、商品等表示における商品には含まれる。よって、不適切である。
不正競争防止法上の不正競争に関し、次のうち、最も適切なものは、どれか。</x:v>
      </x:c>
      <x:c r="I208" s="22" t="str"/>
      <x:c r="J208" s="22" t="str"/>
      <x:c r="K208" s="22" t="str">
        <x:v>令和2年度短答（TAC過去問）／【著作権法・不正競争防止法】7 5／スライド324</x:v>
      </x:c>
      <x:c r="L208" s="22" t="n">
        <x:v>0</x:v>
      </x:c>
      <x:c r="M208" s="22" t="n">
        <x:v>0</x:v>
      </x:c>
      <x:c r="N208" s="23" t="str">
        <x:f>IF(SUM(L208:M208)=0,"",L208/SUM(L208:M208))</x:f>
      </x:c>
      <x:c r="O208" s="22" t="str">
        <x:f>IF(SUM(L208:M208)=0,"NEW",IF(N208&gt;=0.9,"A",IF(N208&gt;=0.75,"B",IF(N208&gt;=0.5,"C","D"))))</x:f>
        <x:v>NEW</x:v>
      </x:c>
      <x:c r="P208" s="22" t="n">
        <x:v>0</x:v>
      </x:c>
      <x:c r="Q208" s="24"/>
      <x:c r="R208" s="24"/>
      <x:c r="S208" s="22" t="str">
        <x:v>原問：不正競争防止法上の不正競争に関し、次のうち、最も適切なものは、どれか。</x:v>
      </x:c>
    </x:row>
    <x:row r="209">
      <x:c r="A209" s="22" t="str">
        <x:v>R02-U08-3</x:v>
      </x:c>
      <x:c r="B209" s="22" t="str">
        <x:v>不正競争防止法</x:v>
      </x:c>
      <x:c r="C209" s="22" t="str">
        <x:v>不正競争防止法における救済</x:v>
      </x:c>
      <x:c r="D209" s="22" t="str">
        <x:v>不正競争防止法における救済／3</x:v>
      </x:c>
      <x:c r="E209" s="22" t="str">
        <x:v>○×</x:v>
      </x:c>
      <x:c r="F209" s="22" t="str">
        <x:v>営業秘密の不正使用行為に対する差止請求権には消滅時効は規定されていないが、損害賠償請求権には消滅時効が規定されている。</x:v>
      </x:c>
      <x:c r="G209" s="22" t="str">
        <x:v>×</x:v>
      </x:c>
      <x:c r="H209" s="22" t="str">
        <x:v>「営業秘密を使用する行為に対する差止請求権（不競３条）は、」その行為を行う者がその行為を継続する場合において、その行為により営業上の利益を侵害される営業秘密保有者がその事実及びその行為者を知った時から３年間行わないときは、又は、その行為の開始の時から２０年を経過したときは、「時効によって消滅する」【不競１５条】。すなわち、営業秘密の不正使用行為に対する差止請求権には消滅時効は規定されている。よって、不適切である。
なお、損害賠償については、不競１５条の規定により営業秘密の使用に関する差止請求権が消滅した後にその営業秘密又は限定提供データを使用する行為によって生じた損害については、認められない（不競４条但書）。</x:v>
      </x:c>
      <x:c r="I209" s="22" t="str">
        <x:v>不競３条、不競１５条、不競４条</x:v>
      </x:c>
      <x:c r="J209" s="22" t="str"/>
      <x:c r="K209" s="22" t="str">
        <x:v>令和2年度短答（TAC過去問）／【著作権法・不正競争防止法】8 3／スライド327</x:v>
      </x:c>
      <x:c r="L209" s="22" t="n">
        <x:v>0</x:v>
      </x:c>
      <x:c r="M209" s="22" t="n">
        <x:v>0</x:v>
      </x:c>
      <x:c r="N209" s="23" t="str">
        <x:f>IF(SUM(L209:M209)=0,"",L209/SUM(L209:M209))</x:f>
      </x:c>
      <x:c r="O209" s="22" t="str">
        <x:f>IF(SUM(L209:M209)=0,"NEW",IF(N209&gt;=0.9,"A",IF(N209&gt;=0.75,"B",IF(N209&gt;=0.5,"C","D"))))</x:f>
        <x:v>NEW</x:v>
      </x:c>
      <x:c r="P209" s="22" t="n">
        <x:v>0</x:v>
      </x:c>
      <x:c r="Q209" s="24"/>
      <x:c r="R209" s="24"/>
      <x:c r="S209" s="22" t="str">
        <x:v>原問：不正競争防止法における救済に関し、次のうち、最も適切なものは、どれか。</x:v>
      </x:c>
    </x:row>
    <x:row r="210">
      <x:c r="A210" s="22" t="str">
        <x:v>R02-U08-5</x:v>
      </x:c>
      <x:c r="B210" s="22" t="str">
        <x:v>不正競争防止法</x:v>
      </x:c>
      <x:c r="C210" s="22" t="str">
        <x:v>不正競争防止法における救済</x:v>
      </x:c>
      <x:c r="D210" s="22" t="str">
        <x:v>不正競争防止法における救済／5</x:v>
      </x:c>
      <x:c r="E210" s="22" t="str">
        <x:v>○×</x:v>
      </x:c>
      <x:c r="F210" s="22" t="str">
        <x:v>他人のドメイン名を不正の利益を得る目的で使用した者に対する損害賠償請求においては、いわゆるライセンス料相当額（当該ドメイン名の使用に対し受けるべき金銭に相当する額）の金銭を損害額として賠償請求することができる。</x:v>
      </x:c>
      <x:c r="G210" s="22" t="str">
        <x:v>○</x:v>
      </x:c>
      <x:c r="H210" s="22" t="str">
        <x:v>「不競２条１項第１９号に掲げる不正競争」によって営業上の利益を侵害された者は、「当該侵害に係るドメイン名の使用」に対し受けるべき金銭の額に相当する額の金銭（ドメイン名の使用に関する使用許諾料）を、自己が受けた損害の額としてその賠償を請求できる【不競５条③－５号】。よって、適切である
なお、本項は、「不正競争」によって営業上の利益を侵害された者が、侵害者に損害賠償の請求を行う場合、使用許諾料に相当する額を損害額として請求できることを規定したものである。本条第１項と同様、平成５年改正時に、特許法、商標法（現行特許法第１０２条第３項、現行商標法第３８条第３項）等の規定にならい、被害者に対する実効的な救済を図るために設けられた規定である。判例は、従前から特許法等の規定を類推適用して、使用許諾料相当額を被害者の損害額として請求することを認めていた。本項は、このような判例法理を明文化し、救済手続面での充実を図ったものである（逐条解説不正競争防止法）。</x:v>
      </x:c>
      <x:c r="I210" s="22" t="str">
        <x:v>不競２条１項、不競５条③－５号</x:v>
      </x:c>
      <x:c r="J210" s="22" t="str"/>
      <x:c r="K210" s="22" t="str">
        <x:v>令和2年度短答（TAC過去問）／【著作権法・不正競争防止法】8 5／スライド329</x:v>
      </x:c>
      <x:c r="L210" s="22" t="n">
        <x:v>0</x:v>
      </x:c>
      <x:c r="M210" s="22" t="n">
        <x:v>0</x:v>
      </x:c>
      <x:c r="N210" s="23" t="str">
        <x:f>IF(SUM(L210:M210)=0,"",L210/SUM(L210:M210))</x:f>
      </x:c>
      <x:c r="O210" s="22" t="str">
        <x:f>IF(SUM(L210:M210)=0,"NEW",IF(N210&gt;=0.9,"A",IF(N210&gt;=0.75,"B",IF(N210&gt;=0.5,"C","D"))))</x:f>
        <x:v>NEW</x:v>
      </x:c>
      <x:c r="P210" s="22" t="n">
        <x:v>0</x:v>
      </x:c>
      <x:c r="Q210" s="24"/>
      <x:c r="R210" s="24"/>
      <x:c r="S210" s="22" t="str">
        <x:v>原問：不正競争防止法における救済に関し、次のうち、最も適切なものは、どれか。</x:v>
      </x:c>
    </x:row>
    <x:row r="211">
      <x:c r="A211" s="22" t="str">
        <x:v>R02-U09-3</x:v>
      </x:c>
      <x:c r="B211" s="22" t="str">
        <x:v>不正競争防止法</x:v>
      </x:c>
      <x:c r="C211" s="22" t="str">
        <x:v>営業秘密</x:v>
      </x:c>
      <x:c r="D211" s="22" t="str">
        <x:v>営業秘密／3</x:v>
      </x:c>
      <x:c r="E211" s="22" t="str">
        <x:v>○×</x:v>
      </x:c>
      <x:c r="F211" s="22" t="str">
        <x:v>営業秘密性の判断において、非公知性の要件は、過去に外国の刊行物に掲載されていた情報であっても認められる場合がある。</x:v>
      </x:c>
      <x:c r="G211" s="22" t="str">
        <x:v>○</x:v>
      </x:c>
      <x:c r="H211" s="22" t="str">
        <x:v>当該情報が実は外国の刊行物に過去に記載されていたような状況であっても、当該情報の管理地においてその事実が知られておらず、その取得に時間的・資金的に相当のコストを要する場合には、非公知性はなお認められ得る（逐条不競ｐ．４７参照）。よって、適切である。</x:v>
      </x:c>
      <x:c r="I211" s="22" t="str"/>
      <x:c r="J211" s="22" t="str"/>
      <x:c r="K211" s="22" t="str">
        <x:v>令和2年度短答（TAC過去問）／【著作権法・不正競争防止法】9 3／スライド332</x:v>
      </x:c>
      <x:c r="L211" s="22" t="n">
        <x:v>0</x:v>
      </x:c>
      <x:c r="M211" s="22" t="n">
        <x:v>0</x:v>
      </x:c>
      <x:c r="N211" s="23" t="str">
        <x:f>IF(SUM(L211:M211)=0,"",L211/SUM(L211:M211))</x:f>
      </x:c>
      <x:c r="O211" s="22" t="str">
        <x:f>IF(SUM(L211:M211)=0,"NEW",IF(N211&gt;=0.9,"A",IF(N211&gt;=0.75,"B",IF(N211&gt;=0.5,"C","D"))))</x:f>
        <x:v>NEW</x:v>
      </x:c>
      <x:c r="P211" s="22" t="n">
        <x:v>0</x:v>
      </x:c>
      <x:c r="Q211" s="24"/>
      <x:c r="R211" s="24"/>
      <x:c r="S211" s="22" t="str">
        <x:v>原問：営業秘密に関し、次のうち、最も不適切なものは、どれか。</x:v>
      </x:c>
    </x:row>
    <x:row r="212">
      <x:c r="A212" s="22" t="str">
        <x:v>R02-U09-4</x:v>
      </x:c>
      <x:c r="B212" s="22" t="str">
        <x:v>不正競争防止法</x:v>
      </x:c>
      <x:c r="C212" s="22" t="str">
        <x:v>営業秘密</x:v>
      </x:c>
      <x:c r="D212" s="22" t="str">
        <x:v>営業秘密／4</x:v>
      </x:c>
      <x:c r="E212" s="22" t="str">
        <x:v>○×</x:v>
      </x:c>
      <x:c r="F212" s="22" t="str">
        <x:v>営業秘密の「取得」には、営業秘密が記録されている媒体を自己の管理下に置く行為や、営業秘密保有者の会話を聞いて記憶する行為も含まれる。</x:v>
      </x:c>
      <x:c r="G212" s="22" t="str">
        <x:v>○</x:v>
      </x:c>
      <x:c r="H212" s="22" t="str">
        <x:v>不正取得行為には、窃盗、詐欺、強迫によるものの他、社会通念上、これと同等の違法性を有すると手段を用いる場合も含まれる（不競２条１項４号）。ここで、営業秘密の「取得」とは、営業秘密を自己の管理下に置く行為をいい、営業秘密が記録されている媒体等を介して自己又は第三者が営業秘密自体を手に入れる行為、及び営業秘密自体を頭の中に入れる等、営業秘密が記録されている媒体等の移動を伴わない形で営業秘密を自己又は第三者のものとする行為が該当する（逐条不競ｐ．８９参照）。
従って、例えば、営業秘密が記録されたＵＳＢメモリを窃取する行為、営業秘密が記載された紙媒体を複写して取得する行為、営業秘密保有者の会話や会議等を盗聴や電波傍受等で盗み聞きする行為のいずれも、営業秘密の「取得」に含まれる（逐条不競ｐ．８９参照）。よって、適切である。</x:v>
      </x:c>
      <x:c r="I212" s="22" t="str">
        <x:v>不競２条１項４号</x:v>
      </x:c>
      <x:c r="J212" s="22" t="str"/>
      <x:c r="K212" s="22" t="str">
        <x:v>令和2年度短答（TAC過去問）／【著作権法・不正競争防止法】9 4／スライド333</x:v>
      </x:c>
      <x:c r="L212" s="22" t="n">
        <x:v>0</x:v>
      </x:c>
      <x:c r="M212" s="22" t="n">
        <x:v>0</x:v>
      </x:c>
      <x:c r="N212" s="23" t="str">
        <x:f>IF(SUM(L212:M212)=0,"",L212/SUM(L212:M212))</x:f>
      </x:c>
      <x:c r="O212" s="22" t="str">
        <x:f>IF(SUM(L212:M212)=0,"NEW",IF(N212&gt;=0.9,"A",IF(N212&gt;=0.75,"B",IF(N212&gt;=0.5,"C","D"))))</x:f>
        <x:v>NEW</x:v>
      </x:c>
      <x:c r="P212" s="22" t="n">
        <x:v>0</x:v>
      </x:c>
      <x:c r="Q212" s="24"/>
      <x:c r="R212" s="24"/>
      <x:c r="S212" s="22" t="str">
        <x:v>原問：営業秘密に関し、次のうち、最も不適切なものは、どれか。</x:v>
      </x:c>
    </x:row>
    <x:row r="213">
      <x:c r="A213" s="22" t="str">
        <x:v>R02-U09-5</x:v>
      </x:c>
      <x:c r="B213" s="22" t="str">
        <x:v>不正競争防止法</x:v>
      </x:c>
      <x:c r="C213" s="22" t="str">
        <x:v>営業秘密</x:v>
      </x:c>
      <x:c r="D213" s="22" t="str">
        <x:v>営業秘密／5</x:v>
      </x:c>
      <x:c r="E213" s="22" t="str">
        <x:v>○×</x:v>
      </x:c>
      <x:c r="F213" s="22" t="str">
        <x:v>化学物質の製造工程に関する営業秘密が記録されているＵＳＢメモリが窃取された場合、当該ＵＳＢメモリを、それが窃取されたものであることを知らないで譲り受け、かつ、その知らなかったことについて重大な過失がなかったときは、その譲り受ける行為は、不正競争には該当しない。</x:v>
      </x:c>
      <x:c r="G213" s="22" t="str">
        <x:v>○</x:v>
      </x:c>
      <x:c r="H213" s="22" t="str">
        <x:v>その営業秘密について「営業秘密不正取得行為が介在したことを知って、若しくは重大な過失により知らないで」営業秘密を取得する行為は、不正競争となる【不競２条①－５号】。従って、ＵＳＢメモリが窃取されたものであることを知らないで譲り受け、かつ、その知らなかったことについて重大な過失がなかったときは、その譲り受ける行為（取得）は、不正競争には該当しない。よって、適切である。
なお、営業秘密の取得後に、営業秘密不正取得行為が介在したこと又は営業秘密不正開示行為があったこと若しくは介在したことにつき悪意重過失で使用、開示した場合は不正競争となる（不競２条⑥⑨）。</x:v>
      </x:c>
      <x:c r="I213" s="22" t="str">
        <x:v>不競２条①－５号、不競２条⑥</x:v>
      </x:c>
      <x:c r="J213" s="22" t="str"/>
      <x:c r="K213" s="22" t="str">
        <x:v>令和2年度短答（TAC過去問）／【著作権法・不正競争防止法】9 5／スライド334-335</x:v>
      </x:c>
      <x:c r="L213" s="22" t="n">
        <x:v>0</x:v>
      </x:c>
      <x:c r="M213" s="22" t="n">
        <x:v>0</x:v>
      </x:c>
      <x:c r="N213" s="23" t="str">
        <x:f>IF(SUM(L213:M213)=0,"",L213/SUM(L213:M213))</x:f>
      </x:c>
      <x:c r="O213" s="22" t="str">
        <x:f>IF(SUM(L213:M213)=0,"NEW",IF(N213&gt;=0.9,"A",IF(N213&gt;=0.75,"B",IF(N213&gt;=0.5,"C","D"))))</x:f>
        <x:v>NEW</x:v>
      </x:c>
      <x:c r="P213" s="22" t="n">
        <x:v>0</x:v>
      </x:c>
      <x:c r="Q213" s="24"/>
      <x:c r="R213" s="24"/>
      <x:c r="S213" s="22" t="str">
        <x:v>原問：営業秘密に関し、次のうち、最も不適切なものは、どれか。</x:v>
      </x:c>
    </x:row>
    <x:row r="214">
      <x:c r="A214" s="22" t="str">
        <x:v>R02-U10-1</x:v>
      </x:c>
      <x:c r="B214" s="22" t="str">
        <x:v>不正競争防止法</x:v>
      </x:c>
      <x:c r="C214" s="22" t="str">
        <x:v>不正競争防止法第２条第１項第２１号の不正競争（虚偽の事実の告知又は流布による信用毀損）</x:v>
      </x:c>
      <x:c r="D214" s="22" t="str">
        <x:v>不正競争防止法第２条第１項第２１号の不正競争（虚偽の事実の告知又は流布による信用毀損）／1</x:v>
      </x:c>
      <x:c r="E214" s="22" t="str">
        <x:v>○×</x:v>
      </x:c>
      <x:c r="F214" s="22" t="str">
        <x:v>「競争関係にある他人の営業上の信用を害する虚偽の事実を告知し、又は流布する行為」において、「競争関係」とは、行為者と当該「他人」との双方の営業につき、その需要者又は取引者を共通にする可能性があることで足りる。</x:v>
      </x:c>
      <x:c r="G214" s="22" t="str">
        <x:v>○</x:v>
      </x:c>
      <x:c r="H214" s="22" t="str">
        <x:v>競争関係は、双方の営業につき、その需要者又は取引者を共通にする可能性があることで足りる（東京地判Ｈ１８．８．８「ハンガークリップ特許警告事件」／逐条不競ｐ．１５１参照）。よって、適切である。</x:v>
      </x:c>
      <x:c r="I214" s="22" t="str"/>
      <x:c r="J214" s="22" t="str"/>
      <x:c r="K214" s="22" t="str">
        <x:v>令和2年度短答（TAC過去問）／【著作権法・不正競争防止法】10 1／スライド336</x:v>
      </x:c>
      <x:c r="L214" s="22" t="n">
        <x:v>0</x:v>
      </x:c>
      <x:c r="M214" s="22" t="n">
        <x:v>0</x:v>
      </x:c>
      <x:c r="N214" s="23" t="str">
        <x:f>IF(SUM(L214:M214)=0,"",L214/SUM(L214:M214))</x:f>
      </x:c>
      <x:c r="O214" s="22" t="str">
        <x:f>IF(SUM(L214:M214)=0,"NEW",IF(N214&gt;=0.9,"A",IF(N214&gt;=0.75,"B",IF(N214&gt;=0.5,"C","D"))))</x:f>
        <x:v>NEW</x:v>
      </x:c>
      <x:c r="P214" s="22" t="n">
        <x:v>0</x:v>
      </x:c>
      <x:c r="Q214" s="24"/>
      <x:c r="R214" s="24"/>
      <x:c r="S214" s="22" t="str">
        <x:v>原問：不正競争防止法第２条第１項第２１号の不正競争（虚偽の事実の告知又は流布による信用毀損）に関し、次のうち、最も不適切なものは、どれか。</x:v>
      </x:c>
    </x:row>
    <x:row r="215">
      <x:c r="A215" s="22" t="str">
        <x:v>R02-U10-2</x:v>
      </x:c>
      <x:c r="B215" s="22" t="str">
        <x:v>不正競争防止法</x:v>
      </x:c>
      <x:c r="C215" s="22" t="str">
        <x:v>不正競争防止法第２条第１項第２１号の不正競争（虚偽の事実の告知又は流布による信用毀損）</x:v>
      </x:c>
      <x:c r="D215" s="22" t="str">
        <x:v>不正競争防止法第２条第１項第２１号の不正競争（虚偽の事実の告知又は流布による信用毀損）／2</x:v>
      </x:c>
      <x:c r="E215" s="22" t="str">
        <x:v>○×</x:v>
      </x:c>
      <x:c r="F215" s="22" t="str">
        <x:v>「営業上の信用」とは、営業活動に関する経済上の外部的評価をいい、その営業によって提供される商品や役務の社会的評価、又は、その者の支払能力や営業能力等に関する社会的信頼が含まれる。</x:v>
      </x:c>
      <x:c r="G215" s="22" t="str">
        <x:v>○</x:v>
      </x:c>
      <x:c r="H215" s="22" t="str">
        <x:v>「営業上の信用を害する」とは、その営業によって提供される商品又は役務の社会的評価、その者の支払能力や営業能力等についての社会的信頼などの営業活動に関する外部的評価を毀損又は低下させることをいうものと解される（東京地判Ｈ２２．３．２６「クリスタルキング」事件）。よって、適切である。</x:v>
      </x:c>
      <x:c r="I215" s="22" t="str"/>
      <x:c r="J215" s="22" t="str"/>
      <x:c r="K215" s="22" t="str">
        <x:v>令和2年度短答（TAC過去問）／【著作権法・不正競争防止法】10 2／スライド337</x:v>
      </x:c>
      <x:c r="L215" s="22" t="n">
        <x:v>0</x:v>
      </x:c>
      <x:c r="M215" s="22" t="n">
        <x:v>0</x:v>
      </x:c>
      <x:c r="N215" s="23" t="str">
        <x:f>IF(SUM(L215:M215)=0,"",L215/SUM(L215:M215))</x:f>
      </x:c>
      <x:c r="O215" s="22" t="str">
        <x:f>IF(SUM(L215:M215)=0,"NEW",IF(N215&gt;=0.9,"A",IF(N215&gt;=0.75,"B",IF(N215&gt;=0.5,"C","D"))))</x:f>
        <x:v>NEW</x:v>
      </x:c>
      <x:c r="P215" s="22" t="n">
        <x:v>0</x:v>
      </x:c>
      <x:c r="Q215" s="24"/>
      <x:c r="R215" s="24"/>
      <x:c r="S215" s="22" t="str">
        <x:v>原問：不正競争防止法第２条第１項第２１号の不正競争（虚偽の事実の告知又は流布による信用毀損）に関し、次のうち、最も不適切なものは、どれか。</x:v>
      </x:c>
    </x:row>
    <x:row r="216">
      <x:c r="A216" s="22" t="str">
        <x:v>R02-U10-3</x:v>
      </x:c>
      <x:c r="B216" s="22" t="str">
        <x:v>不正競争防止法</x:v>
      </x:c>
      <x:c r="C216" s="22" t="str">
        <x:v>不正競争防止法第２条第１項第２１号の不正競争（虚偽の事実の告知又は流布による信用毀損）</x:v>
      </x:c>
      <x:c r="D216" s="22" t="str">
        <x:v>不正競争防止法第２条第１項第２１号の不正競争（虚偽の事実の告知又は流布による信用毀損）／3</x:v>
      </x:c>
      <x:c r="E216" s="22" t="str">
        <x:v>○×</x:v>
      </x:c>
      <x:c r="F216" s="22" t="str">
        <x:v>「告知」とは、一定の事実を特定の者に知らせることをいい、「流布」とは、一定の事実を不特定又は多数の人に知られるような形で広めることをいう。</x:v>
      </x:c>
      <x:c r="G216" s="22" t="str">
        <x:v>○</x:v>
      </x:c>
      <x:c r="H216" s="22" t="str">
        <x:v>「告知」とは、自己の関知する事実を、特定の人に対して個別的に伝達する行為をいい、「流布」とは、事実を不特定の人又は多数の人に対して知られるような態様において広める行為をいう（逐条不競ｐ．１５３参照）。よって、適切である。</x:v>
      </x:c>
      <x:c r="I216" s="22" t="str"/>
      <x:c r="J216" s="22" t="str"/>
      <x:c r="K216" s="22" t="str">
        <x:v>令和2年度短答（TAC過去問）／【著作権法・不正競争防止法】10 3／スライド338</x:v>
      </x:c>
      <x:c r="L216" s="22" t="n">
        <x:v>0</x:v>
      </x:c>
      <x:c r="M216" s="22" t="n">
        <x:v>0</x:v>
      </x:c>
      <x:c r="N216" s="23" t="str">
        <x:f>IF(SUM(L216:M216)=0,"",L216/SUM(L216:M216))</x:f>
      </x:c>
      <x:c r="O216" s="22" t="str">
        <x:f>IF(SUM(L216:M216)=0,"NEW",IF(N216&gt;=0.9,"A",IF(N216&gt;=0.75,"B",IF(N216&gt;=0.5,"C","D"))))</x:f>
        <x:v>NEW</x:v>
      </x:c>
      <x:c r="P216" s="22" t="n">
        <x:v>0</x:v>
      </x:c>
      <x:c r="Q216" s="24"/>
      <x:c r="R216" s="24"/>
      <x:c r="S216" s="22" t="str">
        <x:v>原問：不正競争防止法第２条第１項第２１号の不正競争（虚偽の事実の告知又は流布による信用毀損）に関し、次のうち、最も不適切なものは、どれか。</x:v>
      </x:c>
    </x:row>
    <x:row r="217">
      <x:c r="A217" s="22" t="str">
        <x:v>R02-U10-4</x:v>
      </x:c>
      <x:c r="B217" s="22" t="str">
        <x:v>不正競争防止法</x:v>
      </x:c>
      <x:c r="C217" s="22" t="str">
        <x:v>不正競争防止法第２条第１項第２１号の不正競争（虚偽の事実の告知又は流布による信用毀損）</x:v>
      </x:c>
      <x:c r="D217" s="22" t="str">
        <x:v>不正競争防止法第２条第１項第２１号の不正競争（虚偽の事実の告知又は流布による信用毀損）／4</x:v>
      </x:c>
      <x:c r="E217" s="22" t="str">
        <x:v>○×</x:v>
      </x:c>
      <x:c r="F217" s="22" t="str">
        <x:v>他人の営業上の信用を害する虚偽の事実を告知又は流布する行為であっても、告知又は流布された内容が当該行為者自身による虚構でなく、第三者が虚構したものである場合には、当該行為は不正競争に該当しない。</x:v>
      </x:c>
      <x:c r="G217" s="22" t="str">
        <x:v>×</x:v>
      </x:c>
      <x:c r="H217" s="22" t="str">
        <x:v>「虚偽の事実」とは、客観的真実に反する事実のことである。従って、行為者自らが虚構したものであると、他人が虚構したものであるとを問わず、また、表現を緩和したものであっても、表現の実質的内容が事実に反している場合は、これに含まれることとなる（逐条不競ｐ．１５２参照）。よって、不適切である。</x:v>
      </x:c>
      <x:c r="I217" s="22" t="str"/>
      <x:c r="J217" s="22" t="str"/>
      <x:c r="K217" s="22" t="str">
        <x:v>令和2年度短答（TAC過去問）／【著作権法・不正競争防止法】10 4／スライド339</x:v>
      </x:c>
      <x:c r="L217" s="22" t="n">
        <x:v>0</x:v>
      </x:c>
      <x:c r="M217" s="22" t="n">
        <x:v>0</x:v>
      </x:c>
      <x:c r="N217" s="23" t="str">
        <x:f>IF(SUM(L217:M217)=0,"",L217/SUM(L217:M217))</x:f>
      </x:c>
      <x:c r="O217" s="22" t="str">
        <x:f>IF(SUM(L217:M217)=0,"NEW",IF(N217&gt;=0.9,"A",IF(N217&gt;=0.75,"B",IF(N217&gt;=0.5,"C","D"))))</x:f>
        <x:v>NEW</x:v>
      </x:c>
      <x:c r="P217" s="22" t="n">
        <x:v>0</x:v>
      </x:c>
      <x:c r="Q217" s="24"/>
      <x:c r="R217" s="24"/>
      <x:c r="S217" s="22" t="str">
        <x:v>原問：不正競争防止法第２条第１項第２１号の不正競争（虚偽の事実の告知又は流布による信用毀損）に関し、次のうち、最も不適切なものは、どれか。</x:v>
      </x:c>
    </x:row>
    <x:row r="218">
      <x:c r="A218" s="22" t="str">
        <x:v>R02-U10-5</x:v>
      </x:c>
      <x:c r="B218" s="22" t="str">
        <x:v>不正競争防止法</x:v>
      </x:c>
      <x:c r="C218" s="22" t="str">
        <x:v>不正競争防止法第２条第１項第２１号の不正競争（虚偽の事実の告知又は流布による信用毀損）</x:v>
      </x:c>
      <x:c r="D218" s="22" t="str">
        <x:v>不正競争防止法第２条第１項第２１号の不正競争（虚偽の事実の告知又は流布による信用毀損）／5</x:v>
      </x:c>
      <x:c r="E218" s="22" t="str">
        <x:v>○×</x:v>
      </x:c>
      <x:c r="F218" s="22" t="str">
        <x:v>不正競争防止法第２条第１項第３号の不正競争（商品形態の模倣に係る不正競争）については、民事上の救済と刑事罰の両方が規定されているが、信用毀損行為に関する不正競争については、民事上の救済のみが規定されている。</x:v>
      </x:c>
      <x:c r="G218" s="22" t="str">
        <x:v>○</x:v>
      </x:c>
      <x:c r="H218" s="22" t="str">
        <x:v>「不正競争」によって営業上の利益が侵害されたときは、差止請求（不競３条）、損害賠償請求（不競４条）が認められる。従って、商品等形態の模倣及び信用毀損行為のいずれについても、民事上の救済は規定されている。一方、不正の利益を得る目的で「不競２条①－３号に掲げる不正競争行為（商品等形態の模倣）を行った者は刑事罰に処せられる」が【不競２１条②－３号】、信用毀損行為については刑事罰の対象とはなっていない。信用毀損行為については、当事者間の民事的請求に委ねる趣旨である（逐条不競ｐ．１５１参照）。よって、適切である。
なお、虚偽の風説の流布や偽計によって信用を毀損し、又は業務を妨害した場合は、別途刑法２３３条が成立し得る。「不競法上罰則なし」と「一切犯罪にならない」を混同しない。</x:v>
      </x:c>
      <x:c r="I218" s="22" t="str">
        <x:v>不競３条、不競４条、不競２条①－３号、不競２１条②－３号</x:v>
      </x:c>
      <x:c r="J218" s="22" t="str"/>
      <x:c r="K218" s="22" t="str">
        <x:v>令和2年度短答（TAC過去問）／【著作権法・不正競争防止法】10 5／スライド340</x:v>
      </x:c>
      <x:c r="L218" s="22" t="n">
        <x:v>0</x:v>
      </x:c>
      <x:c r="M218" s="22" t="n">
        <x:v>0</x:v>
      </x:c>
      <x:c r="N218" s="23" t="str">
        <x:f>IF(SUM(L218:M218)=0,"",L218/SUM(L218:M218))</x:f>
      </x:c>
      <x:c r="O218" s="22" t="str">
        <x:f>IF(SUM(L218:M218)=0,"NEW",IF(N218&gt;=0.9,"A",IF(N218&gt;=0.75,"B",IF(N218&gt;=0.5,"C","D"))))</x:f>
        <x:v>NEW</x:v>
      </x:c>
      <x:c r="P218" s="22" t="n">
        <x:v>0</x:v>
      </x:c>
      <x:c r="Q218" s="24"/>
      <x:c r="R218" s="24"/>
      <x:c r="S218" s="22" t="str">
        <x:v>原問：不正競争防止法第２条第１項第２１号の不正競争（虚偽の事実の告知又は流布による信用毀損）に関し、次のうち、最も不適切なものは、どれか。</x:v>
      </x:c>
    </x:row>
    <x:row r="219">
      <x:c r="A219" s="22"/>
      <x:c r="B219" s="22"/>
      <x:c r="C219" s="22"/>
      <x:c r="D219" s="22"/>
      <x:c r="E219" s="22"/>
      <x:c r="F219" s="22"/>
      <x:c r="G219" s="22"/>
      <x:c r="H219" s="22"/>
      <x:c r="I219" s="22"/>
      <x:c r="J219" s="22"/>
      <x:c r="K219" s="22"/>
      <x:c r="L219" s="22"/>
      <x:c r="M219" s="22"/>
      <x:c r="N219" s="23" t="str">
        <x:f>IF(SUM(L219:M219)=0,"",L219/SUM(L219:M219))</x:f>
      </x:c>
      <x:c r="O219" s="22" t="str">
        <x:f>IF(SUM(L219:M219)=0,"NEW",IF(N219&gt;=0.9,"A",IF(N219&gt;=0.75,"B",IF(N219&gt;=0.5,"C","D"))))</x:f>
        <x:v>NEW</x:v>
      </x:c>
      <x:c r="P219" s="22"/>
      <x:c r="Q219" s="24"/>
      <x:c r="R219" s="24"/>
      <x:c r="S219" s="22"/>
    </x:row>
    <x:row r="220">
      <x:c r="A220" s="22"/>
      <x:c r="B220" s="22"/>
      <x:c r="C220" s="22"/>
      <x:c r="D220" s="22"/>
      <x:c r="E220" s="22"/>
      <x:c r="F220" s="22"/>
      <x:c r="G220" s="22"/>
      <x:c r="H220" s="22"/>
      <x:c r="I220" s="22"/>
      <x:c r="J220" s="22"/>
      <x:c r="K220" s="22"/>
      <x:c r="L220" s="22"/>
      <x:c r="M220" s="22"/>
      <x:c r="N220" s="23" t="str">
        <x:f>IF(SUM(L220:M220)=0,"",L220/SUM(L220:M220))</x:f>
      </x:c>
      <x:c r="O220" s="22" t="str">
        <x:f>IF(SUM(L220:M220)=0,"NEW",IF(N220&gt;=0.9,"A",IF(N220&gt;=0.75,"B",IF(N220&gt;=0.5,"C","D"))))</x:f>
        <x:v>NEW</x:v>
      </x:c>
      <x:c r="P220" s="22"/>
      <x:c r="Q220" s="24"/>
      <x:c r="R220" s="24"/>
      <x:c r="S220" s="22"/>
    </x:row>
    <x:row r="221">
      <x:c r="A221" s="22"/>
      <x:c r="B221" s="22"/>
      <x:c r="C221" s="22"/>
      <x:c r="D221" s="22"/>
      <x:c r="E221" s="22"/>
      <x:c r="F221" s="22"/>
      <x:c r="G221" s="22"/>
      <x:c r="H221" s="22"/>
      <x:c r="I221" s="22"/>
      <x:c r="J221" s="22"/>
      <x:c r="K221" s="22"/>
      <x:c r="L221" s="22"/>
      <x:c r="M221" s="22"/>
      <x:c r="N221" s="23" t="str">
        <x:f>IF(SUM(L221:M221)=0,"",L221/SUM(L221:M221))</x:f>
      </x:c>
      <x:c r="O221" s="22" t="str">
        <x:f>IF(SUM(L221:M221)=0,"NEW",IF(N221&gt;=0.9,"A",IF(N221&gt;=0.75,"B",IF(N221&gt;=0.5,"C","D"))))</x:f>
        <x:v>NEW</x:v>
      </x:c>
      <x:c r="P221" s="22"/>
      <x:c r="Q221" s="24"/>
      <x:c r="R221" s="24"/>
      <x:c r="S221" s="22"/>
    </x:row>
    <x:row r="222">
      <x:c r="A222" s="22"/>
      <x:c r="B222" s="22"/>
      <x:c r="C222" s="22"/>
      <x:c r="D222" s="22"/>
      <x:c r="E222" s="22"/>
      <x:c r="F222" s="22"/>
      <x:c r="G222" s="22"/>
      <x:c r="H222" s="22"/>
      <x:c r="I222" s="22"/>
      <x:c r="J222" s="22"/>
      <x:c r="K222" s="22"/>
      <x:c r="L222" s="22"/>
      <x:c r="M222" s="22"/>
      <x:c r="N222" s="23" t="str">
        <x:f>IF(SUM(L222:M222)=0,"",L222/SUM(L222:M222))</x:f>
      </x:c>
      <x:c r="O222" s="22" t="str">
        <x:f>IF(SUM(L222:M222)=0,"NEW",IF(N222&gt;=0.9,"A",IF(N222&gt;=0.75,"B",IF(N222&gt;=0.5,"C","D"))))</x:f>
        <x:v>NEW</x:v>
      </x:c>
      <x:c r="P222" s="22"/>
      <x:c r="Q222" s="24"/>
      <x:c r="R222" s="24"/>
      <x:c r="S222" s="22"/>
    </x:row>
    <x:row r="223">
      <x:c r="A223" s="22"/>
      <x:c r="B223" s="22"/>
      <x:c r="C223" s="22"/>
      <x:c r="D223" s="22"/>
      <x:c r="E223" s="22"/>
      <x:c r="F223" s="22"/>
      <x:c r="G223" s="22"/>
      <x:c r="H223" s="22"/>
      <x:c r="I223" s="22"/>
      <x:c r="J223" s="22"/>
      <x:c r="K223" s="22"/>
      <x:c r="L223" s="22"/>
      <x:c r="M223" s="22"/>
      <x:c r="N223" s="23" t="str">
        <x:f>IF(SUM(L223:M223)=0,"",L223/SUM(L223:M223))</x:f>
      </x:c>
      <x:c r="O223" s="22" t="str">
        <x:f>IF(SUM(L223:M223)=0,"NEW",IF(N223&gt;=0.9,"A",IF(N223&gt;=0.75,"B",IF(N223&gt;=0.5,"C","D"))))</x:f>
        <x:v>NEW</x:v>
      </x:c>
      <x:c r="P223" s="22"/>
      <x:c r="Q223" s="24"/>
      <x:c r="R223" s="24"/>
      <x:c r="S223" s="22"/>
    </x:row>
    <x:row r="224">
      <x:c r="A224" s="22"/>
      <x:c r="B224" s="22"/>
      <x:c r="C224" s="22"/>
      <x:c r="D224" s="22"/>
      <x:c r="E224" s="22"/>
      <x:c r="F224" s="22"/>
      <x:c r="G224" s="22"/>
      <x:c r="H224" s="22"/>
      <x:c r="I224" s="22"/>
      <x:c r="J224" s="22"/>
      <x:c r="K224" s="22"/>
      <x:c r="L224" s="22"/>
      <x:c r="M224" s="22"/>
      <x:c r="N224" s="23" t="str">
        <x:f>IF(SUM(L224:M224)=0,"",L224/SUM(L224:M224))</x:f>
      </x:c>
      <x:c r="O224" s="22" t="str">
        <x:f>IF(SUM(L224:M224)=0,"NEW",IF(N224&gt;=0.9,"A",IF(N224&gt;=0.75,"B",IF(N224&gt;=0.5,"C","D"))))</x:f>
        <x:v>NEW</x:v>
      </x:c>
      <x:c r="P224" s="22"/>
      <x:c r="Q224" s="24"/>
      <x:c r="R224" s="24"/>
      <x:c r="S224" s="22"/>
    </x:row>
    <x:row r="225">
      <x:c r="A225" s="22"/>
      <x:c r="B225" s="22"/>
      <x:c r="C225" s="22"/>
      <x:c r="D225" s="22"/>
      <x:c r="E225" s="22"/>
      <x:c r="F225" s="22"/>
      <x:c r="G225" s="22"/>
      <x:c r="H225" s="22"/>
      <x:c r="I225" s="22"/>
      <x:c r="J225" s="22"/>
      <x:c r="K225" s="22"/>
      <x:c r="L225" s="22"/>
      <x:c r="M225" s="22"/>
      <x:c r="N225" s="23" t="str">
        <x:f>IF(SUM(L225:M225)=0,"",L225/SUM(L225:M225))</x:f>
      </x:c>
      <x:c r="O225" s="22" t="str">
        <x:f>IF(SUM(L225:M225)=0,"NEW",IF(N225&gt;=0.9,"A",IF(N225&gt;=0.75,"B",IF(N225&gt;=0.5,"C","D"))))</x:f>
        <x:v>NEW</x:v>
      </x:c>
      <x:c r="P225" s="22"/>
      <x:c r="Q225" s="24"/>
      <x:c r="R225" s="24"/>
      <x:c r="S225" s="22"/>
    </x:row>
    <x:row r="226">
      <x:c r="A226" s="22"/>
      <x:c r="B226" s="22"/>
      <x:c r="C226" s="22"/>
      <x:c r="D226" s="22"/>
      <x:c r="E226" s="22"/>
      <x:c r="F226" s="22"/>
      <x:c r="G226" s="22"/>
      <x:c r="H226" s="22"/>
      <x:c r="I226" s="22"/>
      <x:c r="J226" s="22"/>
      <x:c r="K226" s="22"/>
      <x:c r="L226" s="22"/>
      <x:c r="M226" s="22"/>
      <x:c r="N226" s="23" t="str">
        <x:f>IF(SUM(L226:M226)=0,"",L226/SUM(L226:M226))</x:f>
      </x:c>
      <x:c r="O226" s="22" t="str">
        <x:f>IF(SUM(L226:M226)=0,"NEW",IF(N226&gt;=0.9,"A",IF(N226&gt;=0.75,"B",IF(N226&gt;=0.5,"C","D"))))</x:f>
        <x:v>NEW</x:v>
      </x:c>
      <x:c r="P226" s="22"/>
      <x:c r="Q226" s="24"/>
      <x:c r="R226" s="24"/>
      <x:c r="S226" s="22"/>
    </x:row>
    <x:row r="227">
      <x:c r="A227" s="22"/>
      <x:c r="B227" s="22"/>
      <x:c r="C227" s="22"/>
      <x:c r="D227" s="22"/>
      <x:c r="E227" s="22"/>
      <x:c r="F227" s="22"/>
      <x:c r="G227" s="22"/>
      <x:c r="H227" s="22"/>
      <x:c r="I227" s="22"/>
      <x:c r="J227" s="22"/>
      <x:c r="K227" s="22"/>
      <x:c r="L227" s="22"/>
      <x:c r="M227" s="22"/>
      <x:c r="N227" s="23" t="str">
        <x:f>IF(SUM(L227:M227)=0,"",L227/SUM(L227:M227))</x:f>
      </x:c>
      <x:c r="O227" s="22" t="str">
        <x:f>IF(SUM(L227:M227)=0,"NEW",IF(N227&gt;=0.9,"A",IF(N227&gt;=0.75,"B",IF(N227&gt;=0.5,"C","D"))))</x:f>
        <x:v>NEW</x:v>
      </x:c>
      <x:c r="P227" s="22"/>
      <x:c r="Q227" s="24"/>
      <x:c r="R227" s="24"/>
      <x:c r="S227" s="22"/>
    </x:row>
    <x:row r="228">
      <x:c r="A228" s="22"/>
      <x:c r="B228" s="22"/>
      <x:c r="C228" s="22"/>
      <x:c r="D228" s="22"/>
      <x:c r="E228" s="22"/>
      <x:c r="F228" s="22"/>
      <x:c r="G228" s="22"/>
      <x:c r="H228" s="22"/>
      <x:c r="I228" s="22"/>
      <x:c r="J228" s="22"/>
      <x:c r="K228" s="22"/>
      <x:c r="L228" s="22"/>
      <x:c r="M228" s="22"/>
      <x:c r="N228" s="23" t="str">
        <x:f>IF(SUM(L228:M228)=0,"",L228/SUM(L228:M228))</x:f>
      </x:c>
      <x:c r="O228" s="22" t="str">
        <x:f>IF(SUM(L228:M228)=0,"NEW",IF(N228&gt;=0.9,"A",IF(N228&gt;=0.75,"B",IF(N228&gt;=0.5,"C","D"))))</x:f>
        <x:v>NEW</x:v>
      </x:c>
      <x:c r="P228" s="22"/>
      <x:c r="Q228" s="24"/>
      <x:c r="R228" s="24"/>
      <x:c r="S228" s="22"/>
    </x:row>
    <x:row r="229">
      <x:c r="A229" s="22"/>
      <x:c r="B229" s="22"/>
      <x:c r="C229" s="22"/>
      <x:c r="D229" s="22"/>
      <x:c r="E229" s="22"/>
      <x:c r="F229" s="22"/>
      <x:c r="G229" s="22"/>
      <x:c r="H229" s="22"/>
      <x:c r="I229" s="22"/>
      <x:c r="J229" s="22"/>
      <x:c r="K229" s="22"/>
      <x:c r="L229" s="22"/>
      <x:c r="M229" s="22"/>
      <x:c r="N229" s="23" t="str">
        <x:f>IF(SUM(L229:M229)=0,"",L229/SUM(L229:M229))</x:f>
      </x:c>
      <x:c r="O229" s="22" t="str">
        <x:f>IF(SUM(L229:M229)=0,"NEW",IF(N229&gt;=0.9,"A",IF(N229&gt;=0.75,"B",IF(N229&gt;=0.5,"C","D"))))</x:f>
        <x:v>NEW</x:v>
      </x:c>
      <x:c r="P229" s="22"/>
      <x:c r="Q229" s="24"/>
      <x:c r="R229" s="24"/>
      <x:c r="S229" s="22"/>
    </x:row>
    <x:row r="230">
      <x:c r="A230" s="22"/>
      <x:c r="B230" s="22"/>
      <x:c r="C230" s="22"/>
      <x:c r="D230" s="22"/>
      <x:c r="E230" s="22"/>
      <x:c r="F230" s="22"/>
      <x:c r="G230" s="22"/>
      <x:c r="H230" s="22"/>
      <x:c r="I230" s="22"/>
      <x:c r="J230" s="22"/>
      <x:c r="K230" s="22"/>
      <x:c r="L230" s="22"/>
      <x:c r="M230" s="22"/>
      <x:c r="N230" s="23" t="str">
        <x:f>IF(SUM(L230:M230)=0,"",L230/SUM(L230:M230))</x:f>
      </x:c>
      <x:c r="O230" s="22" t="str">
        <x:f>IF(SUM(L230:M230)=0,"NEW",IF(N230&gt;=0.9,"A",IF(N230&gt;=0.75,"B",IF(N230&gt;=0.5,"C","D"))))</x:f>
        <x:v>NEW</x:v>
      </x:c>
      <x:c r="P230" s="22"/>
      <x:c r="Q230" s="24"/>
      <x:c r="R230" s="24"/>
      <x:c r="S230" s="22"/>
    </x:row>
    <x:row r="231">
      <x:c r="A231" s="22"/>
      <x:c r="B231" s="22"/>
      <x:c r="C231" s="22"/>
      <x:c r="D231" s="22"/>
      <x:c r="E231" s="22"/>
      <x:c r="F231" s="22"/>
      <x:c r="G231" s="22"/>
      <x:c r="H231" s="22"/>
      <x:c r="I231" s="22"/>
      <x:c r="J231" s="22"/>
      <x:c r="K231" s="22"/>
      <x:c r="L231" s="22"/>
      <x:c r="M231" s="22"/>
      <x:c r="N231" s="23" t="str">
        <x:f>IF(SUM(L231:M231)=0,"",L231/SUM(L231:M231))</x:f>
      </x:c>
      <x:c r="O231" s="22" t="str">
        <x:f>IF(SUM(L231:M231)=0,"NEW",IF(N231&gt;=0.9,"A",IF(N231&gt;=0.75,"B",IF(N231&gt;=0.5,"C","D"))))</x:f>
        <x:v>NEW</x:v>
      </x:c>
      <x:c r="P231" s="22"/>
      <x:c r="Q231" s="24"/>
      <x:c r="R231" s="24"/>
      <x:c r="S231" s="22"/>
    </x:row>
    <x:row r="232">
      <x:c r="A232" s="22"/>
      <x:c r="B232" s="22"/>
      <x:c r="C232" s="22"/>
      <x:c r="D232" s="22"/>
      <x:c r="E232" s="22"/>
      <x:c r="F232" s="22"/>
      <x:c r="G232" s="22"/>
      <x:c r="H232" s="22"/>
      <x:c r="I232" s="22"/>
      <x:c r="J232" s="22"/>
      <x:c r="K232" s="22"/>
      <x:c r="L232" s="22"/>
      <x:c r="M232" s="22"/>
      <x:c r="N232" s="23" t="str">
        <x:f>IF(SUM(L232:M232)=0,"",L232/SUM(L232:M232))</x:f>
      </x:c>
      <x:c r="O232" s="22" t="str">
        <x:f>IF(SUM(L232:M232)=0,"NEW",IF(N232&gt;=0.9,"A",IF(N232&gt;=0.75,"B",IF(N232&gt;=0.5,"C","D"))))</x:f>
        <x:v>NEW</x:v>
      </x:c>
      <x:c r="P232" s="22"/>
      <x:c r="Q232" s="24"/>
      <x:c r="R232" s="24"/>
      <x:c r="S232" s="22"/>
    </x:row>
    <x:row r="233">
      <x:c r="A233" s="22"/>
      <x:c r="B233" s="22"/>
      <x:c r="C233" s="22"/>
      <x:c r="D233" s="22"/>
      <x:c r="E233" s="22"/>
      <x:c r="F233" s="22"/>
      <x:c r="G233" s="22"/>
      <x:c r="H233" s="22"/>
      <x:c r="I233" s="22"/>
      <x:c r="J233" s="22"/>
      <x:c r="K233" s="22"/>
      <x:c r="L233" s="22"/>
      <x:c r="M233" s="22"/>
      <x:c r="N233" s="23" t="str">
        <x:f>IF(SUM(L233:M233)=0,"",L233/SUM(L233:M233))</x:f>
      </x:c>
      <x:c r="O233" s="22" t="str">
        <x:f>IF(SUM(L233:M233)=0,"NEW",IF(N233&gt;=0.9,"A",IF(N233&gt;=0.75,"B",IF(N233&gt;=0.5,"C","D"))))</x:f>
        <x:v>NEW</x:v>
      </x:c>
      <x:c r="P233" s="22"/>
      <x:c r="Q233" s="24"/>
      <x:c r="R233" s="24"/>
      <x:c r="S233" s="22"/>
    </x:row>
    <x:row r="234">
      <x:c r="A234" s="22"/>
      <x:c r="B234" s="22"/>
      <x:c r="C234" s="22"/>
      <x:c r="D234" s="22"/>
      <x:c r="E234" s="22"/>
      <x:c r="F234" s="22"/>
      <x:c r="G234" s="22"/>
      <x:c r="H234" s="22"/>
      <x:c r="I234" s="22"/>
      <x:c r="J234" s="22"/>
      <x:c r="K234" s="22"/>
      <x:c r="L234" s="22"/>
      <x:c r="M234" s="22"/>
      <x:c r="N234" s="23" t="str">
        <x:f>IF(SUM(L234:M234)=0,"",L234/SUM(L234:M234))</x:f>
      </x:c>
      <x:c r="O234" s="22" t="str">
        <x:f>IF(SUM(L234:M234)=0,"NEW",IF(N234&gt;=0.9,"A",IF(N234&gt;=0.75,"B",IF(N234&gt;=0.5,"C","D"))))</x:f>
        <x:v>NEW</x:v>
      </x:c>
      <x:c r="P234" s="22"/>
      <x:c r="Q234" s="24"/>
      <x:c r="R234" s="24"/>
      <x:c r="S234" s="22"/>
    </x:row>
    <x:row r="235">
      <x:c r="A235" s="22"/>
      <x:c r="B235" s="22"/>
      <x:c r="C235" s="22"/>
      <x:c r="D235" s="22"/>
      <x:c r="E235" s="22"/>
      <x:c r="F235" s="22"/>
      <x:c r="G235" s="22"/>
      <x:c r="H235" s="22"/>
      <x:c r="I235" s="22"/>
      <x:c r="J235" s="22"/>
      <x:c r="K235" s="22"/>
      <x:c r="L235" s="22"/>
      <x:c r="M235" s="22"/>
      <x:c r="N235" s="23" t="str">
        <x:f>IF(SUM(L235:M235)=0,"",L235/SUM(L235:M235))</x:f>
      </x:c>
      <x:c r="O235" s="22" t="str">
        <x:f>IF(SUM(L235:M235)=0,"NEW",IF(N235&gt;=0.9,"A",IF(N235&gt;=0.75,"B",IF(N235&gt;=0.5,"C","D"))))</x:f>
        <x:v>NEW</x:v>
      </x:c>
      <x:c r="P235" s="22"/>
      <x:c r="Q235" s="24"/>
      <x:c r="R235" s="24"/>
      <x:c r="S235" s="22"/>
    </x:row>
    <x:row r="236">
      <x:c r="A236" s="22"/>
      <x:c r="B236" s="22"/>
      <x:c r="C236" s="22"/>
      <x:c r="D236" s="22"/>
      <x:c r="E236" s="22"/>
      <x:c r="F236" s="22"/>
      <x:c r="G236" s="22"/>
      <x:c r="H236" s="22"/>
      <x:c r="I236" s="22"/>
      <x:c r="J236" s="22"/>
      <x:c r="K236" s="22"/>
      <x:c r="L236" s="22"/>
      <x:c r="M236" s="22"/>
      <x:c r="N236" s="23" t="str">
        <x:f>IF(SUM(L236:M236)=0,"",L236/SUM(L236:M236))</x:f>
      </x:c>
      <x:c r="O236" s="22" t="str">
        <x:f>IF(SUM(L236:M236)=0,"NEW",IF(N236&gt;=0.9,"A",IF(N236&gt;=0.75,"B",IF(N236&gt;=0.5,"C","D"))))</x:f>
        <x:v>NEW</x:v>
      </x:c>
      <x:c r="P236" s="22"/>
      <x:c r="Q236" s="24"/>
      <x:c r="R236" s="24"/>
      <x:c r="S236" s="22"/>
    </x:row>
    <x:row r="237">
      <x:c r="A237" s="22"/>
      <x:c r="B237" s="22"/>
      <x:c r="C237" s="22"/>
      <x:c r="D237" s="22"/>
      <x:c r="E237" s="22"/>
      <x:c r="F237" s="22"/>
      <x:c r="G237" s="22"/>
      <x:c r="H237" s="22"/>
      <x:c r="I237" s="22"/>
      <x:c r="J237" s="22"/>
      <x:c r="K237" s="22"/>
      <x:c r="L237" s="22"/>
      <x:c r="M237" s="22"/>
      <x:c r="N237" s="23" t="str">
        <x:f>IF(SUM(L237:M237)=0,"",L237/SUM(L237:M237))</x:f>
      </x:c>
      <x:c r="O237" s="22" t="str">
        <x:f>IF(SUM(L237:M237)=0,"NEW",IF(N237&gt;=0.9,"A",IF(N237&gt;=0.75,"B",IF(N237&gt;=0.5,"C","D"))))</x:f>
        <x:v>NEW</x:v>
      </x:c>
      <x:c r="P237" s="22"/>
      <x:c r="Q237" s="24"/>
      <x:c r="R237" s="24"/>
      <x:c r="S237" s="22"/>
    </x:row>
    <x:row r="238">
      <x:c r="A238" s="22"/>
      <x:c r="B238" s="22"/>
      <x:c r="C238" s="22"/>
      <x:c r="D238" s="22"/>
      <x:c r="E238" s="22"/>
      <x:c r="F238" s="22"/>
      <x:c r="G238" s="22"/>
      <x:c r="H238" s="22"/>
      <x:c r="I238" s="22"/>
      <x:c r="J238" s="22"/>
      <x:c r="K238" s="22"/>
      <x:c r="L238" s="22"/>
      <x:c r="M238" s="22"/>
      <x:c r="N238" s="23" t="str">
        <x:f>IF(SUM(L238:M238)=0,"",L238/SUM(L238:M238))</x:f>
      </x:c>
      <x:c r="O238" s="22" t="str">
        <x:f>IF(SUM(L238:M238)=0,"NEW",IF(N238&gt;=0.9,"A",IF(N238&gt;=0.75,"B",IF(N238&gt;=0.5,"C","D"))))</x:f>
        <x:v>NEW</x:v>
      </x:c>
      <x:c r="P238" s="22"/>
      <x:c r="Q238" s="24"/>
      <x:c r="R238" s="24"/>
      <x:c r="S238" s="22"/>
    </x:row>
    <x:row r="239">
      <x:c r="A239" s="22"/>
      <x:c r="B239" s="22"/>
      <x:c r="C239" s="22"/>
      <x:c r="D239" s="22"/>
      <x:c r="E239" s="22"/>
      <x:c r="F239" s="22"/>
      <x:c r="G239" s="22"/>
      <x:c r="H239" s="22"/>
      <x:c r="I239" s="22"/>
      <x:c r="J239" s="22"/>
      <x:c r="K239" s="22"/>
      <x:c r="L239" s="22"/>
      <x:c r="M239" s="22"/>
      <x:c r="N239" s="23" t="str">
        <x:f>IF(SUM(L239:M239)=0,"",L239/SUM(L239:M239))</x:f>
      </x:c>
      <x:c r="O239" s="22" t="str">
        <x:f>IF(SUM(L239:M239)=0,"NEW",IF(N239&gt;=0.9,"A",IF(N239&gt;=0.75,"B",IF(N239&gt;=0.5,"C","D"))))</x:f>
        <x:v>NEW</x:v>
      </x:c>
      <x:c r="P239" s="22"/>
      <x:c r="Q239" s="24"/>
      <x:c r="R239" s="24"/>
      <x:c r="S239" s="22"/>
    </x:row>
    <x:row r="240">
      <x:c r="A240" s="22"/>
      <x:c r="B240" s="22"/>
      <x:c r="C240" s="22"/>
      <x:c r="D240" s="22"/>
      <x:c r="E240" s="22"/>
      <x:c r="F240" s="22"/>
      <x:c r="G240" s="22"/>
      <x:c r="H240" s="22"/>
      <x:c r="I240" s="22"/>
      <x:c r="J240" s="22"/>
      <x:c r="K240" s="22"/>
      <x:c r="L240" s="22"/>
      <x:c r="M240" s="22"/>
      <x:c r="N240" s="23" t="str">
        <x:f>IF(SUM(L240:M240)=0,"",L240/SUM(L240:M240))</x:f>
      </x:c>
      <x:c r="O240" s="22" t="str">
        <x:f>IF(SUM(L240:M240)=0,"NEW",IF(N240&gt;=0.9,"A",IF(N240&gt;=0.75,"B",IF(N240&gt;=0.5,"C","D"))))</x:f>
        <x:v>NEW</x:v>
      </x:c>
      <x:c r="P240" s="22"/>
      <x:c r="Q240" s="24"/>
      <x:c r="R240" s="24"/>
      <x:c r="S240" s="22"/>
    </x:row>
    <x:row r="241">
      <x:c r="A241" s="22"/>
      <x:c r="B241" s="22"/>
      <x:c r="C241" s="22"/>
      <x:c r="D241" s="22"/>
      <x:c r="E241" s="22"/>
      <x:c r="F241" s="22"/>
      <x:c r="G241" s="22"/>
      <x:c r="H241" s="22"/>
      <x:c r="I241" s="22"/>
      <x:c r="J241" s="22"/>
      <x:c r="K241" s="22"/>
      <x:c r="L241" s="22"/>
      <x:c r="M241" s="22"/>
      <x:c r="N241" s="23" t="str">
        <x:f>IF(SUM(L241:M241)=0,"",L241/SUM(L241:M241))</x:f>
      </x:c>
      <x:c r="O241" s="22" t="str">
        <x:f>IF(SUM(L241:M241)=0,"NEW",IF(N241&gt;=0.9,"A",IF(N241&gt;=0.75,"B",IF(N241&gt;=0.5,"C","D"))))</x:f>
        <x:v>NEW</x:v>
      </x:c>
      <x:c r="P241" s="22"/>
      <x:c r="Q241" s="24"/>
      <x:c r="R241" s="24"/>
      <x:c r="S241" s="22"/>
    </x:row>
    <x:row r="242">
      <x:c r="A242" s="22"/>
      <x:c r="B242" s="22"/>
      <x:c r="C242" s="22"/>
      <x:c r="D242" s="22"/>
      <x:c r="E242" s="22"/>
      <x:c r="F242" s="22"/>
      <x:c r="G242" s="22"/>
      <x:c r="H242" s="22"/>
      <x:c r="I242" s="22"/>
      <x:c r="J242" s="22"/>
      <x:c r="K242" s="22"/>
      <x:c r="L242" s="22"/>
      <x:c r="M242" s="22"/>
      <x:c r="N242" s="23" t="str">
        <x:f>IF(SUM(L242:M242)=0,"",L242/SUM(L242:M242))</x:f>
      </x:c>
      <x:c r="O242" s="22" t="str">
        <x:f>IF(SUM(L242:M242)=0,"NEW",IF(N242&gt;=0.9,"A",IF(N242&gt;=0.75,"B",IF(N242&gt;=0.5,"C","D"))))</x:f>
        <x:v>NEW</x:v>
      </x:c>
      <x:c r="P242" s="22"/>
      <x:c r="Q242" s="24"/>
      <x:c r="R242" s="24"/>
      <x:c r="S242" s="22"/>
    </x:row>
    <x:row r="243">
      <x:c r="A243" s="22"/>
      <x:c r="B243" s="22"/>
      <x:c r="C243" s="22"/>
      <x:c r="D243" s="22"/>
      <x:c r="E243" s="22"/>
      <x:c r="F243" s="22"/>
      <x:c r="G243" s="22"/>
      <x:c r="H243" s="22"/>
      <x:c r="I243" s="22"/>
      <x:c r="J243" s="22"/>
      <x:c r="K243" s="22"/>
      <x:c r="L243" s="22"/>
      <x:c r="M243" s="22"/>
      <x:c r="N243" s="23" t="str">
        <x:f>IF(SUM(L243:M243)=0,"",L243/SUM(L243:M243))</x:f>
      </x:c>
      <x:c r="O243" s="22" t="str">
        <x:f>IF(SUM(L243:M243)=0,"NEW",IF(N243&gt;=0.9,"A",IF(N243&gt;=0.75,"B",IF(N243&gt;=0.5,"C","D"))))</x:f>
        <x:v>NEW</x:v>
      </x:c>
      <x:c r="P243" s="22"/>
      <x:c r="Q243" s="24"/>
      <x:c r="R243" s="24"/>
      <x:c r="S243" s="22"/>
    </x:row>
    <x:row r="244">
      <x:c r="A244" s="22"/>
      <x:c r="B244" s="22"/>
      <x:c r="C244" s="22"/>
      <x:c r="D244" s="22"/>
      <x:c r="E244" s="22"/>
      <x:c r="F244" s="22"/>
      <x:c r="G244" s="22"/>
      <x:c r="H244" s="22"/>
      <x:c r="I244" s="22"/>
      <x:c r="J244" s="22"/>
      <x:c r="K244" s="22"/>
      <x:c r="L244" s="22"/>
      <x:c r="M244" s="22"/>
      <x:c r="N244" s="23" t="str">
        <x:f>IF(SUM(L244:M244)=0,"",L244/SUM(L244:M244))</x:f>
      </x:c>
      <x:c r="O244" s="22" t="str">
        <x:f>IF(SUM(L244:M244)=0,"NEW",IF(N244&gt;=0.9,"A",IF(N244&gt;=0.75,"B",IF(N244&gt;=0.5,"C","D"))))</x:f>
        <x:v>NEW</x:v>
      </x:c>
      <x:c r="P244" s="22"/>
      <x:c r="Q244" s="24"/>
      <x:c r="R244" s="24"/>
      <x:c r="S244" s="22"/>
    </x:row>
    <x:row r="245">
      <x:c r="A245" s="22"/>
      <x:c r="B245" s="22"/>
      <x:c r="C245" s="22"/>
      <x:c r="D245" s="22"/>
      <x:c r="E245" s="22"/>
      <x:c r="F245" s="22"/>
      <x:c r="G245" s="22"/>
      <x:c r="H245" s="22"/>
      <x:c r="I245" s="22"/>
      <x:c r="J245" s="22"/>
      <x:c r="K245" s="22"/>
      <x:c r="L245" s="22"/>
      <x:c r="M245" s="22"/>
      <x:c r="N245" s="23" t="str">
        <x:f>IF(SUM(L245:M245)=0,"",L245/SUM(L245:M245))</x:f>
      </x:c>
      <x:c r="O245" s="22" t="str">
        <x:f>IF(SUM(L245:M245)=0,"NEW",IF(N245&gt;=0.9,"A",IF(N245&gt;=0.75,"B",IF(N245&gt;=0.5,"C","D"))))</x:f>
        <x:v>NEW</x:v>
      </x:c>
      <x:c r="P245" s="22"/>
      <x:c r="Q245" s="24"/>
      <x:c r="R245" s="24"/>
      <x:c r="S245" s="22"/>
    </x:row>
    <x:row r="246">
      <x:c r="A246" s="22"/>
      <x:c r="B246" s="22"/>
      <x:c r="C246" s="22"/>
      <x:c r="D246" s="22"/>
      <x:c r="E246" s="22"/>
      <x:c r="F246" s="22"/>
      <x:c r="G246" s="22"/>
      <x:c r="H246" s="22"/>
      <x:c r="I246" s="22"/>
      <x:c r="J246" s="22"/>
      <x:c r="K246" s="22"/>
      <x:c r="L246" s="22"/>
      <x:c r="M246" s="22"/>
      <x:c r="N246" s="23" t="str">
        <x:f>IF(SUM(L246:M246)=0,"",L246/SUM(L246:M246))</x:f>
      </x:c>
      <x:c r="O246" s="22" t="str">
        <x:f>IF(SUM(L246:M246)=0,"NEW",IF(N246&gt;=0.9,"A",IF(N246&gt;=0.75,"B",IF(N246&gt;=0.5,"C","D"))))</x:f>
        <x:v>NEW</x:v>
      </x:c>
      <x:c r="P246" s="22"/>
      <x:c r="Q246" s="24"/>
      <x:c r="R246" s="24"/>
      <x:c r="S246" s="22"/>
    </x:row>
    <x:row r="247">
      <x:c r="A247" s="22"/>
      <x:c r="B247" s="22"/>
      <x:c r="C247" s="22"/>
      <x:c r="D247" s="22"/>
      <x:c r="E247" s="22"/>
      <x:c r="F247" s="22"/>
      <x:c r="G247" s="22"/>
      <x:c r="H247" s="22"/>
      <x:c r="I247" s="22"/>
      <x:c r="J247" s="22"/>
      <x:c r="K247" s="22"/>
      <x:c r="L247" s="22"/>
      <x:c r="M247" s="22"/>
      <x:c r="N247" s="23" t="str">
        <x:f>IF(SUM(L247:M247)=0,"",L247/SUM(L247:M247))</x:f>
      </x:c>
      <x:c r="O247" s="22" t="str">
        <x:f>IF(SUM(L247:M247)=0,"NEW",IF(N247&gt;=0.9,"A",IF(N247&gt;=0.75,"B",IF(N247&gt;=0.5,"C","D"))))</x:f>
        <x:v>NEW</x:v>
      </x:c>
      <x:c r="P247" s="22"/>
      <x:c r="Q247" s="24"/>
      <x:c r="R247" s="24"/>
      <x:c r="S247" s="22"/>
    </x:row>
    <x:row r="248">
      <x:c r="A248" s="22"/>
      <x:c r="B248" s="22"/>
      <x:c r="C248" s="22"/>
      <x:c r="D248" s="22"/>
      <x:c r="E248" s="22"/>
      <x:c r="F248" s="22"/>
      <x:c r="G248" s="22"/>
      <x:c r="H248" s="22"/>
      <x:c r="I248" s="22"/>
      <x:c r="J248" s="22"/>
      <x:c r="K248" s="22"/>
      <x:c r="L248" s="22"/>
      <x:c r="M248" s="22"/>
      <x:c r="N248" s="23" t="str">
        <x:f>IF(SUM(L248:M248)=0,"",L248/SUM(L248:M248))</x:f>
      </x:c>
      <x:c r="O248" s="22" t="str">
        <x:f>IF(SUM(L248:M248)=0,"NEW",IF(N248&gt;=0.9,"A",IF(N248&gt;=0.75,"B",IF(N248&gt;=0.5,"C","D"))))</x:f>
        <x:v>NEW</x:v>
      </x:c>
      <x:c r="P248" s="22"/>
      <x:c r="Q248" s="24"/>
      <x:c r="R248" s="24"/>
      <x:c r="S248" s="22"/>
    </x:row>
    <x:row r="249">
      <x:c r="A249" s="22"/>
      <x:c r="B249" s="22"/>
      <x:c r="C249" s="22"/>
      <x:c r="D249" s="22"/>
      <x:c r="E249" s="22"/>
      <x:c r="F249" s="22"/>
      <x:c r="G249" s="22"/>
      <x:c r="H249" s="22"/>
      <x:c r="I249" s="22"/>
      <x:c r="J249" s="22"/>
      <x:c r="K249" s="22"/>
      <x:c r="L249" s="22"/>
      <x:c r="M249" s="22"/>
      <x:c r="N249" s="23" t="str">
        <x:f>IF(SUM(L249:M249)=0,"",L249/SUM(L249:M249))</x:f>
      </x:c>
      <x:c r="O249" s="22" t="str">
        <x:f>IF(SUM(L249:M249)=0,"NEW",IF(N249&gt;=0.9,"A",IF(N249&gt;=0.75,"B",IF(N249&gt;=0.5,"C","D"))))</x:f>
        <x:v>NEW</x:v>
      </x:c>
      <x:c r="P249" s="22"/>
      <x:c r="Q249" s="24"/>
      <x:c r="R249" s="24"/>
      <x:c r="S249" s="22"/>
    </x:row>
    <x:row r="250">
      <x:c r="A250" s="22"/>
      <x:c r="B250" s="22"/>
      <x:c r="C250" s="22"/>
      <x:c r="D250" s="22"/>
      <x:c r="E250" s="22"/>
      <x:c r="F250" s="22"/>
      <x:c r="G250" s="22"/>
      <x:c r="H250" s="22"/>
      <x:c r="I250" s="22"/>
      <x:c r="J250" s="22"/>
      <x:c r="K250" s="22"/>
      <x:c r="L250" s="22"/>
      <x:c r="M250" s="22"/>
      <x:c r="N250" s="23" t="str">
        <x:f>IF(SUM(L250:M250)=0,"",L250/SUM(L250:M250))</x:f>
      </x:c>
      <x:c r="O250" s="22" t="str">
        <x:f>IF(SUM(L250:M250)=0,"NEW",IF(N250&gt;=0.9,"A",IF(N250&gt;=0.75,"B",IF(N250&gt;=0.5,"C","D"))))</x:f>
        <x:v>NEW</x:v>
      </x:c>
      <x:c r="P250" s="22"/>
      <x:c r="Q250" s="24"/>
      <x:c r="R250" s="24"/>
      <x:c r="S250" s="22"/>
    </x:row>
    <x:row r="251">
      <x:c r="A251" s="22"/>
      <x:c r="B251" s="22"/>
      <x:c r="C251" s="22"/>
      <x:c r="D251" s="22"/>
      <x:c r="E251" s="22"/>
      <x:c r="F251" s="22"/>
      <x:c r="G251" s="22"/>
      <x:c r="H251" s="22"/>
      <x:c r="I251" s="22"/>
      <x:c r="J251" s="22"/>
      <x:c r="K251" s="22"/>
      <x:c r="L251" s="22"/>
      <x:c r="M251" s="22"/>
      <x:c r="N251" s="23" t="str">
        <x:f>IF(SUM(L251:M251)=0,"",L251/SUM(L251:M251))</x:f>
      </x:c>
      <x:c r="O251" s="22" t="str">
        <x:f>IF(SUM(L251:M251)=0,"NEW",IF(N251&gt;=0.9,"A",IF(N251&gt;=0.75,"B",IF(N251&gt;=0.5,"C","D"))))</x:f>
        <x:v>NEW</x:v>
      </x:c>
      <x:c r="P251" s="22"/>
      <x:c r="Q251" s="24"/>
      <x:c r="R251" s="24"/>
      <x:c r="S251" s="22"/>
    </x:row>
    <x:row r="252">
      <x:c r="A252" s="22"/>
      <x:c r="B252" s="22"/>
      <x:c r="C252" s="22"/>
      <x:c r="D252" s="22"/>
      <x:c r="E252" s="22"/>
      <x:c r="F252" s="22"/>
      <x:c r="G252" s="22"/>
      <x:c r="H252" s="22"/>
      <x:c r="I252" s="22"/>
      <x:c r="J252" s="22"/>
      <x:c r="K252" s="22"/>
      <x:c r="L252" s="22"/>
      <x:c r="M252" s="22"/>
      <x:c r="N252" s="23" t="str">
        <x:f>IF(SUM(L252:M252)=0,"",L252/SUM(L252:M252))</x:f>
      </x:c>
      <x:c r="O252" s="22" t="str">
        <x:f>IF(SUM(L252:M252)=0,"NEW",IF(N252&gt;=0.9,"A",IF(N252&gt;=0.75,"B",IF(N252&gt;=0.5,"C","D"))))</x:f>
        <x:v>NEW</x:v>
      </x:c>
      <x:c r="P252" s="22"/>
      <x:c r="Q252" s="24"/>
      <x:c r="R252" s="24"/>
      <x:c r="S252" s="22"/>
    </x:row>
    <x:row r="253">
      <x:c r="A253" s="22"/>
      <x:c r="B253" s="22"/>
      <x:c r="C253" s="22"/>
      <x:c r="D253" s="22"/>
      <x:c r="E253" s="22"/>
      <x:c r="F253" s="22"/>
      <x:c r="G253" s="22"/>
      <x:c r="H253" s="22"/>
      <x:c r="I253" s="22"/>
      <x:c r="J253" s="22"/>
      <x:c r="K253" s="22"/>
      <x:c r="L253" s="22"/>
      <x:c r="M253" s="22"/>
      <x:c r="N253" s="23" t="str">
        <x:f>IF(SUM(L253:M253)=0,"",L253/SUM(L253:M253))</x:f>
      </x:c>
      <x:c r="O253" s="22" t="str">
        <x:f>IF(SUM(L253:M253)=0,"NEW",IF(N253&gt;=0.9,"A",IF(N253&gt;=0.75,"B",IF(N253&gt;=0.5,"C","D"))))</x:f>
        <x:v>NEW</x:v>
      </x:c>
      <x:c r="P253" s="22"/>
      <x:c r="Q253" s="24"/>
      <x:c r="R253" s="24"/>
      <x:c r="S253" s="22"/>
    </x:row>
    <x:row r="254">
      <x:c r="A254" s="22"/>
      <x:c r="B254" s="22"/>
      <x:c r="C254" s="22"/>
      <x:c r="D254" s="22"/>
      <x:c r="E254" s="22"/>
      <x:c r="F254" s="22"/>
      <x:c r="G254" s="22"/>
      <x:c r="H254" s="22"/>
      <x:c r="I254" s="22"/>
      <x:c r="J254" s="22"/>
      <x:c r="K254" s="22"/>
      <x:c r="L254" s="22"/>
      <x:c r="M254" s="22"/>
      <x:c r="N254" s="23" t="str">
        <x:f>IF(SUM(L254:M254)=0,"",L254/SUM(L254:M254))</x:f>
      </x:c>
      <x:c r="O254" s="22" t="str">
        <x:f>IF(SUM(L254:M254)=0,"NEW",IF(N254&gt;=0.9,"A",IF(N254&gt;=0.75,"B",IF(N254&gt;=0.5,"C","D"))))</x:f>
        <x:v>NEW</x:v>
      </x:c>
      <x:c r="P254" s="22"/>
      <x:c r="Q254" s="24"/>
      <x:c r="R254" s="24"/>
      <x:c r="S254" s="22"/>
    </x:row>
    <x:row r="255">
      <x:c r="A255" s="22"/>
      <x:c r="B255" s="22"/>
      <x:c r="C255" s="22"/>
      <x:c r="D255" s="22"/>
      <x:c r="E255" s="22"/>
      <x:c r="F255" s="22"/>
      <x:c r="G255" s="22"/>
      <x:c r="H255" s="22"/>
      <x:c r="I255" s="22"/>
      <x:c r="J255" s="22"/>
      <x:c r="K255" s="22"/>
      <x:c r="L255" s="22"/>
      <x:c r="M255" s="22"/>
      <x:c r="N255" s="23" t="str">
        <x:f>IF(SUM(L255:M255)=0,"",L255/SUM(L255:M255))</x:f>
      </x:c>
      <x:c r="O255" s="22" t="str">
        <x:f>IF(SUM(L255:M255)=0,"NEW",IF(N255&gt;=0.9,"A",IF(N255&gt;=0.75,"B",IF(N255&gt;=0.5,"C","D"))))</x:f>
        <x:v>NEW</x:v>
      </x:c>
      <x:c r="P255" s="22"/>
      <x:c r="Q255" s="24"/>
      <x:c r="R255" s="24"/>
      <x:c r="S255" s="22"/>
    </x:row>
    <x:row r="256">
      <x:c r="A256" s="22"/>
      <x:c r="B256" s="22"/>
      <x:c r="C256" s="22"/>
      <x:c r="D256" s="22"/>
      <x:c r="E256" s="22"/>
      <x:c r="F256" s="22"/>
      <x:c r="G256" s="22"/>
      <x:c r="H256" s="22"/>
      <x:c r="I256" s="22"/>
      <x:c r="J256" s="22"/>
      <x:c r="K256" s="22"/>
      <x:c r="L256" s="22"/>
      <x:c r="M256" s="22"/>
      <x:c r="N256" s="23" t="str">
        <x:f>IF(SUM(L256:M256)=0,"",L256/SUM(L256:M256))</x:f>
      </x:c>
      <x:c r="O256" s="22" t="str">
        <x:f>IF(SUM(L256:M256)=0,"NEW",IF(N256&gt;=0.9,"A",IF(N256&gt;=0.75,"B",IF(N256&gt;=0.5,"C","D"))))</x:f>
        <x:v>NEW</x:v>
      </x:c>
      <x:c r="P256" s="22"/>
      <x:c r="Q256" s="24"/>
      <x:c r="R256" s="24"/>
      <x:c r="S256" s="22"/>
    </x:row>
    <x:row r="257">
      <x:c r="A257" s="22"/>
      <x:c r="B257" s="22"/>
      <x:c r="C257" s="22"/>
      <x:c r="D257" s="22"/>
      <x:c r="E257" s="22"/>
      <x:c r="F257" s="22"/>
      <x:c r="G257" s="22"/>
      <x:c r="H257" s="22"/>
      <x:c r="I257" s="22"/>
      <x:c r="J257" s="22"/>
      <x:c r="K257" s="22"/>
      <x:c r="L257" s="22"/>
      <x:c r="M257" s="22"/>
      <x:c r="N257" s="23" t="str">
        <x:f>IF(SUM(L257:M257)=0,"",L257/SUM(L257:M257))</x:f>
      </x:c>
      <x:c r="O257" s="22" t="str">
        <x:f>IF(SUM(L257:M257)=0,"NEW",IF(N257&gt;=0.9,"A",IF(N257&gt;=0.75,"B",IF(N257&gt;=0.5,"C","D"))))</x:f>
        <x:v>NEW</x:v>
      </x:c>
      <x:c r="P257" s="22"/>
      <x:c r="Q257" s="24"/>
      <x:c r="R257" s="24"/>
      <x:c r="S257" s="22"/>
    </x:row>
    <x:row r="258">
      <x:c r="A258" s="22"/>
      <x:c r="B258" s="22"/>
      <x:c r="C258" s="22"/>
      <x:c r="D258" s="22"/>
      <x:c r="E258" s="22"/>
      <x:c r="F258" s="22"/>
      <x:c r="G258" s="22"/>
      <x:c r="H258" s="22"/>
      <x:c r="I258" s="22"/>
      <x:c r="J258" s="22"/>
      <x:c r="K258" s="22"/>
      <x:c r="L258" s="22"/>
      <x:c r="M258" s="22"/>
      <x:c r="N258" s="23" t="str">
        <x:f>IF(SUM(L258:M258)=0,"",L258/SUM(L258:M258))</x:f>
      </x:c>
      <x:c r="O258" s="22" t="str">
        <x:f>IF(SUM(L258:M258)=0,"NEW",IF(N258&gt;=0.9,"A",IF(N258&gt;=0.75,"B",IF(N258&gt;=0.5,"C","D"))))</x:f>
        <x:v>NEW</x:v>
      </x:c>
      <x:c r="P258" s="22"/>
      <x:c r="Q258" s="24"/>
      <x:c r="R258" s="24"/>
      <x:c r="S258" s="22"/>
    </x:row>
    <x:row r="259">
      <x:c r="A259" s="22"/>
      <x:c r="B259" s="22"/>
      <x:c r="C259" s="22"/>
      <x:c r="D259" s="22"/>
      <x:c r="E259" s="22"/>
      <x:c r="F259" s="22"/>
      <x:c r="G259" s="22"/>
      <x:c r="H259" s="22"/>
      <x:c r="I259" s="22"/>
      <x:c r="J259" s="22"/>
      <x:c r="K259" s="22"/>
      <x:c r="L259" s="22"/>
      <x:c r="M259" s="22"/>
      <x:c r="N259" s="23" t="str">
        <x:f>IF(SUM(L259:M259)=0,"",L259/SUM(L259:M259))</x:f>
      </x:c>
      <x:c r="O259" s="22" t="str">
        <x:f>IF(SUM(L259:M259)=0,"NEW",IF(N259&gt;=0.9,"A",IF(N259&gt;=0.75,"B",IF(N259&gt;=0.5,"C","D"))))</x:f>
        <x:v>NEW</x:v>
      </x:c>
      <x:c r="P259" s="22"/>
      <x:c r="Q259" s="24"/>
      <x:c r="R259" s="24"/>
      <x:c r="S259" s="22"/>
    </x:row>
    <x:row r="260">
      <x:c r="A260" s="22"/>
      <x:c r="B260" s="22"/>
      <x:c r="C260" s="22"/>
      <x:c r="D260" s="22"/>
      <x:c r="E260" s="22"/>
      <x:c r="F260" s="22"/>
      <x:c r="G260" s="22"/>
      <x:c r="H260" s="22"/>
      <x:c r="I260" s="22"/>
      <x:c r="J260" s="22"/>
      <x:c r="K260" s="22"/>
      <x:c r="L260" s="22"/>
      <x:c r="M260" s="22"/>
      <x:c r="N260" s="23" t="str">
        <x:f>IF(SUM(L260:M260)=0,"",L260/SUM(L260:M260))</x:f>
      </x:c>
      <x:c r="O260" s="22" t="str">
        <x:f>IF(SUM(L260:M260)=0,"NEW",IF(N260&gt;=0.9,"A",IF(N260&gt;=0.75,"B",IF(N260&gt;=0.5,"C","D"))))</x:f>
        <x:v>NEW</x:v>
      </x:c>
      <x:c r="P260" s="22"/>
      <x:c r="Q260" s="24"/>
      <x:c r="R260" s="24"/>
      <x:c r="S260" s="22"/>
    </x:row>
    <x:row r="261">
      <x:c r="A261" s="22"/>
      <x:c r="B261" s="22"/>
      <x:c r="C261" s="22"/>
      <x:c r="D261" s="22"/>
      <x:c r="E261" s="22"/>
      <x:c r="F261" s="22"/>
      <x:c r="G261" s="22"/>
      <x:c r="H261" s="22"/>
      <x:c r="I261" s="22"/>
      <x:c r="J261" s="22"/>
      <x:c r="K261" s="22"/>
      <x:c r="L261" s="22"/>
      <x:c r="M261" s="22"/>
      <x:c r="N261" s="23" t="str">
        <x:f>IF(SUM(L261:M261)=0,"",L261/SUM(L261:M261))</x:f>
      </x:c>
      <x:c r="O261" s="22" t="str">
        <x:f>IF(SUM(L261:M261)=0,"NEW",IF(N261&gt;=0.9,"A",IF(N261&gt;=0.75,"B",IF(N261&gt;=0.5,"C","D"))))</x:f>
        <x:v>NEW</x:v>
      </x:c>
      <x:c r="P261" s="22"/>
      <x:c r="Q261" s="24"/>
      <x:c r="R261" s="24"/>
      <x:c r="S261" s="22"/>
    </x:row>
    <x:row r="262">
      <x:c r="A262" s="22"/>
      <x:c r="B262" s="22"/>
      <x:c r="C262" s="22"/>
      <x:c r="D262" s="22"/>
      <x:c r="E262" s="22"/>
      <x:c r="F262" s="22"/>
      <x:c r="G262" s="22"/>
      <x:c r="H262" s="22"/>
      <x:c r="I262" s="22"/>
      <x:c r="J262" s="22"/>
      <x:c r="K262" s="22"/>
      <x:c r="L262" s="22"/>
      <x:c r="M262" s="22"/>
      <x:c r="N262" s="23" t="str">
        <x:f>IF(SUM(L262:M262)=0,"",L262/SUM(L262:M262))</x:f>
      </x:c>
      <x:c r="O262" s="22" t="str">
        <x:f>IF(SUM(L262:M262)=0,"NEW",IF(N262&gt;=0.9,"A",IF(N262&gt;=0.75,"B",IF(N262&gt;=0.5,"C","D"))))</x:f>
        <x:v>NEW</x:v>
      </x:c>
      <x:c r="P262" s="22"/>
      <x:c r="Q262" s="24"/>
      <x:c r="R262" s="24"/>
      <x:c r="S262" s="22"/>
    </x:row>
    <x:row r="263">
      <x:c r="A263" s="22"/>
      <x:c r="B263" s="22"/>
      <x:c r="C263" s="22"/>
      <x:c r="D263" s="22"/>
      <x:c r="E263" s="22"/>
      <x:c r="F263" s="22"/>
      <x:c r="G263" s="22"/>
      <x:c r="H263" s="22"/>
      <x:c r="I263" s="22"/>
      <x:c r="J263" s="22"/>
      <x:c r="K263" s="22"/>
      <x:c r="L263" s="22"/>
      <x:c r="M263" s="22"/>
      <x:c r="N263" s="23" t="str">
        <x:f>IF(SUM(L263:M263)=0,"",L263/SUM(L263:M263))</x:f>
      </x:c>
      <x:c r="O263" s="22" t="str">
        <x:f>IF(SUM(L263:M263)=0,"NEW",IF(N263&gt;=0.9,"A",IF(N263&gt;=0.75,"B",IF(N263&gt;=0.5,"C","D"))))</x:f>
        <x:v>NEW</x:v>
      </x:c>
      <x:c r="P263" s="22"/>
      <x:c r="Q263" s="24"/>
      <x:c r="R263" s="24"/>
      <x:c r="S263" s="22"/>
    </x:row>
    <x:row r="264">
      <x:c r="A264" s="22"/>
      <x:c r="B264" s="22"/>
      <x:c r="C264" s="22"/>
      <x:c r="D264" s="22"/>
      <x:c r="E264" s="22"/>
      <x:c r="F264" s="22"/>
      <x:c r="G264" s="22"/>
      <x:c r="H264" s="22"/>
      <x:c r="I264" s="22"/>
      <x:c r="J264" s="22"/>
      <x:c r="K264" s="22"/>
      <x:c r="L264" s="22"/>
      <x:c r="M264" s="22"/>
      <x:c r="N264" s="23" t="str">
        <x:f>IF(SUM(L264:M264)=0,"",L264/SUM(L264:M264))</x:f>
      </x:c>
      <x:c r="O264" s="22" t="str">
        <x:f>IF(SUM(L264:M264)=0,"NEW",IF(N264&gt;=0.9,"A",IF(N264&gt;=0.75,"B",IF(N264&gt;=0.5,"C","D"))))</x:f>
        <x:v>NEW</x:v>
      </x:c>
      <x:c r="P264" s="22"/>
      <x:c r="Q264" s="24"/>
      <x:c r="R264" s="24"/>
      <x:c r="S264" s="22"/>
    </x:row>
    <x:row r="265">
      <x:c r="A265" s="22"/>
      <x:c r="B265" s="22"/>
      <x:c r="C265" s="22"/>
      <x:c r="D265" s="22"/>
      <x:c r="E265" s="22"/>
      <x:c r="F265" s="22"/>
      <x:c r="G265" s="22"/>
      <x:c r="H265" s="22"/>
      <x:c r="I265" s="22"/>
      <x:c r="J265" s="22"/>
      <x:c r="K265" s="22"/>
      <x:c r="L265" s="22"/>
      <x:c r="M265" s="22"/>
      <x:c r="N265" s="23" t="str">
        <x:f>IF(SUM(L265:M265)=0,"",L265/SUM(L265:M265))</x:f>
      </x:c>
      <x:c r="O265" s="22" t="str">
        <x:f>IF(SUM(L265:M265)=0,"NEW",IF(N265&gt;=0.9,"A",IF(N265&gt;=0.75,"B",IF(N265&gt;=0.5,"C","D"))))</x:f>
        <x:v>NEW</x:v>
      </x:c>
      <x:c r="P265" s="22"/>
      <x:c r="Q265" s="24"/>
      <x:c r="R265" s="24"/>
      <x:c r="S265" s="22"/>
    </x:row>
    <x:row r="266">
      <x:c r="A266" s="22"/>
      <x:c r="B266" s="22"/>
      <x:c r="C266" s="22"/>
      <x:c r="D266" s="22"/>
      <x:c r="E266" s="22"/>
      <x:c r="F266" s="22"/>
      <x:c r="G266" s="22"/>
      <x:c r="H266" s="22"/>
      <x:c r="I266" s="22"/>
      <x:c r="J266" s="22"/>
      <x:c r="K266" s="22"/>
      <x:c r="L266" s="22"/>
      <x:c r="M266" s="22"/>
      <x:c r="N266" s="23" t="str">
        <x:f>IF(SUM(L266:M266)=0,"",L266/SUM(L266:M266))</x:f>
      </x:c>
      <x:c r="O266" s="22" t="str">
        <x:f>IF(SUM(L266:M266)=0,"NEW",IF(N266&gt;=0.9,"A",IF(N266&gt;=0.75,"B",IF(N266&gt;=0.5,"C","D"))))</x:f>
        <x:v>NEW</x:v>
      </x:c>
      <x:c r="P266" s="22"/>
      <x:c r="Q266" s="24"/>
      <x:c r="R266" s="24"/>
      <x:c r="S266" s="22"/>
    </x:row>
    <x:row r="267">
      <x:c r="A267" s="22"/>
      <x:c r="B267" s="22"/>
      <x:c r="C267" s="22"/>
      <x:c r="D267" s="22"/>
      <x:c r="E267" s="22"/>
      <x:c r="F267" s="22"/>
      <x:c r="G267" s="22"/>
      <x:c r="H267" s="22"/>
      <x:c r="I267" s="22"/>
      <x:c r="J267" s="22"/>
      <x:c r="K267" s="22"/>
      <x:c r="L267" s="22"/>
      <x:c r="M267" s="22"/>
      <x:c r="N267" s="23" t="str">
        <x:f>IF(SUM(L267:M267)=0,"",L267/SUM(L267:M267))</x:f>
      </x:c>
      <x:c r="O267" s="22" t="str">
        <x:f>IF(SUM(L267:M267)=0,"NEW",IF(N267&gt;=0.9,"A",IF(N267&gt;=0.75,"B",IF(N267&gt;=0.5,"C","D"))))</x:f>
        <x:v>NEW</x:v>
      </x:c>
      <x:c r="P267" s="22"/>
      <x:c r="Q267" s="24"/>
      <x:c r="R267" s="24"/>
      <x:c r="S267" s="22"/>
    </x:row>
    <x:row r="268">
      <x:c r="A268" s="22"/>
      <x:c r="B268" s="22"/>
      <x:c r="C268" s="22"/>
      <x:c r="D268" s="22"/>
      <x:c r="E268" s="22"/>
      <x:c r="F268" s="22"/>
      <x:c r="G268" s="22"/>
      <x:c r="H268" s="22"/>
      <x:c r="I268" s="22"/>
      <x:c r="J268" s="22"/>
      <x:c r="K268" s="22"/>
      <x:c r="L268" s="22"/>
      <x:c r="M268" s="22"/>
      <x:c r="N268" s="23" t="str">
        <x:f>IF(SUM(L268:M268)=0,"",L268/SUM(L268:M268))</x:f>
      </x:c>
      <x:c r="O268" s="22" t="str">
        <x:f>IF(SUM(L268:M268)=0,"NEW",IF(N268&gt;=0.9,"A",IF(N268&gt;=0.75,"B",IF(N268&gt;=0.5,"C","D"))))</x:f>
        <x:v>NEW</x:v>
      </x:c>
      <x:c r="P268" s="22"/>
      <x:c r="Q268" s="24"/>
      <x:c r="R268" s="24"/>
      <x:c r="S268" s="22"/>
    </x:row>
    <x:row r="269">
      <x:c r="A269" s="22"/>
      <x:c r="B269" s="22"/>
      <x:c r="C269" s="22"/>
      <x:c r="D269" s="22"/>
      <x:c r="E269" s="22"/>
      <x:c r="F269" s="22"/>
      <x:c r="G269" s="22"/>
      <x:c r="H269" s="22"/>
      <x:c r="I269" s="22"/>
      <x:c r="J269" s="22"/>
      <x:c r="K269" s="22"/>
      <x:c r="L269" s="22"/>
      <x:c r="M269" s="22"/>
      <x:c r="N269" s="23" t="str">
        <x:f>IF(SUM(L269:M269)=0,"",L269/SUM(L269:M269))</x:f>
      </x:c>
      <x:c r="O269" s="22" t="str">
        <x:f>IF(SUM(L269:M269)=0,"NEW",IF(N269&gt;=0.9,"A",IF(N269&gt;=0.75,"B",IF(N269&gt;=0.5,"C","D"))))</x:f>
        <x:v>NEW</x:v>
      </x:c>
      <x:c r="P269" s="22"/>
      <x:c r="Q269" s="24"/>
      <x:c r="R269" s="24"/>
      <x:c r="S269" s="22"/>
    </x:row>
    <x:row r="270">
      <x:c r="A270" s="22"/>
      <x:c r="B270" s="22"/>
      <x:c r="C270" s="22"/>
      <x:c r="D270" s="22"/>
      <x:c r="E270" s="22"/>
      <x:c r="F270" s="22"/>
      <x:c r="G270" s="22"/>
      <x:c r="H270" s="22"/>
      <x:c r="I270" s="22"/>
      <x:c r="J270" s="22"/>
      <x:c r="K270" s="22"/>
      <x:c r="L270" s="22"/>
      <x:c r="M270" s="22"/>
      <x:c r="N270" s="23" t="str">
        <x:f>IF(SUM(L270:M270)=0,"",L270/SUM(L270:M270))</x:f>
      </x:c>
      <x:c r="O270" s="22" t="str">
        <x:f>IF(SUM(L270:M270)=0,"NEW",IF(N270&gt;=0.9,"A",IF(N270&gt;=0.75,"B",IF(N270&gt;=0.5,"C","D"))))</x:f>
        <x:v>NEW</x:v>
      </x:c>
      <x:c r="P270" s="22"/>
      <x:c r="Q270" s="24"/>
      <x:c r="R270" s="24"/>
      <x:c r="S270" s="22"/>
    </x:row>
    <x:row r="271">
      <x:c r="A271" s="22"/>
      <x:c r="B271" s="22"/>
      <x:c r="C271" s="22"/>
      <x:c r="D271" s="22"/>
      <x:c r="E271" s="22"/>
      <x:c r="F271" s="22"/>
      <x:c r="G271" s="22"/>
      <x:c r="H271" s="22"/>
      <x:c r="I271" s="22"/>
      <x:c r="J271" s="22"/>
      <x:c r="K271" s="22"/>
      <x:c r="L271" s="22"/>
      <x:c r="M271" s="22"/>
      <x:c r="N271" s="23" t="str">
        <x:f>IF(SUM(L271:M271)=0,"",L271/SUM(L271:M271))</x:f>
      </x:c>
      <x:c r="O271" s="22" t="str">
        <x:f>IF(SUM(L271:M271)=0,"NEW",IF(N271&gt;=0.9,"A",IF(N271&gt;=0.75,"B",IF(N271&gt;=0.5,"C","D"))))</x:f>
        <x:v>NEW</x:v>
      </x:c>
      <x:c r="P271" s="22"/>
      <x:c r="Q271" s="24"/>
      <x:c r="R271" s="24"/>
      <x:c r="S271" s="22"/>
    </x:row>
    <x:row r="272">
      <x:c r="A272" s="22"/>
      <x:c r="B272" s="22"/>
      <x:c r="C272" s="22"/>
      <x:c r="D272" s="22"/>
      <x:c r="E272" s="22"/>
      <x:c r="F272" s="22"/>
      <x:c r="G272" s="22"/>
      <x:c r="H272" s="22"/>
      <x:c r="I272" s="22"/>
      <x:c r="J272" s="22"/>
      <x:c r="K272" s="22"/>
      <x:c r="L272" s="22"/>
      <x:c r="M272" s="22"/>
      <x:c r="N272" s="23" t="str">
        <x:f>IF(SUM(L272:M272)=0,"",L272/SUM(L272:M272))</x:f>
      </x:c>
      <x:c r="O272" s="22" t="str">
        <x:f>IF(SUM(L272:M272)=0,"NEW",IF(N272&gt;=0.9,"A",IF(N272&gt;=0.75,"B",IF(N272&gt;=0.5,"C","D"))))</x:f>
        <x:v>NEW</x:v>
      </x:c>
      <x:c r="P272" s="22"/>
      <x:c r="Q272" s="24"/>
      <x:c r="R272" s="24"/>
      <x:c r="S272" s="22"/>
    </x:row>
    <x:row r="273">
      <x:c r="A273" s="22"/>
      <x:c r="B273" s="22"/>
      <x:c r="C273" s="22"/>
      <x:c r="D273" s="22"/>
      <x:c r="E273" s="22"/>
      <x:c r="F273" s="22"/>
      <x:c r="G273" s="22"/>
      <x:c r="H273" s="22"/>
      <x:c r="I273" s="22"/>
      <x:c r="J273" s="22"/>
      <x:c r="K273" s="22"/>
      <x:c r="L273" s="22"/>
      <x:c r="M273" s="22"/>
      <x:c r="N273" s="23" t="str">
        <x:f>IF(SUM(L273:M273)=0,"",L273/SUM(L273:M273))</x:f>
      </x:c>
      <x:c r="O273" s="22" t="str">
        <x:f>IF(SUM(L273:M273)=0,"NEW",IF(N273&gt;=0.9,"A",IF(N273&gt;=0.75,"B",IF(N273&gt;=0.5,"C","D"))))</x:f>
        <x:v>NEW</x:v>
      </x:c>
      <x:c r="P273" s="22"/>
      <x:c r="Q273" s="24"/>
      <x:c r="R273" s="24"/>
      <x:c r="S273" s="22"/>
    </x:row>
    <x:row r="274">
      <x:c r="A274" s="22"/>
      <x:c r="B274" s="22"/>
      <x:c r="C274" s="22"/>
      <x:c r="D274" s="22"/>
      <x:c r="E274" s="22"/>
      <x:c r="F274" s="22"/>
      <x:c r="G274" s="22"/>
      <x:c r="H274" s="22"/>
      <x:c r="I274" s="22"/>
      <x:c r="J274" s="22"/>
      <x:c r="K274" s="22"/>
      <x:c r="L274" s="22"/>
      <x:c r="M274" s="22"/>
      <x:c r="N274" s="23" t="str">
        <x:f>IF(SUM(L274:M274)=0,"",L274/SUM(L274:M274))</x:f>
      </x:c>
      <x:c r="O274" s="22" t="str">
        <x:f>IF(SUM(L274:M274)=0,"NEW",IF(N274&gt;=0.9,"A",IF(N274&gt;=0.75,"B",IF(N274&gt;=0.5,"C","D"))))</x:f>
        <x:v>NEW</x:v>
      </x:c>
      <x:c r="P274" s="22"/>
      <x:c r="Q274" s="24"/>
      <x:c r="R274" s="24"/>
      <x:c r="S274" s="22"/>
    </x:row>
    <x:row r="275">
      <x:c r="A275" s="22"/>
      <x:c r="B275" s="22"/>
      <x:c r="C275" s="22"/>
      <x:c r="D275" s="22"/>
      <x:c r="E275" s="22"/>
      <x:c r="F275" s="22"/>
      <x:c r="G275" s="22"/>
      <x:c r="H275" s="22"/>
      <x:c r="I275" s="22"/>
      <x:c r="J275" s="22"/>
      <x:c r="K275" s="22"/>
      <x:c r="L275" s="22"/>
      <x:c r="M275" s="22"/>
      <x:c r="N275" s="23" t="str">
        <x:f>IF(SUM(L275:M275)=0,"",L275/SUM(L275:M275))</x:f>
      </x:c>
      <x:c r="O275" s="22" t="str">
        <x:f>IF(SUM(L275:M275)=0,"NEW",IF(N275&gt;=0.9,"A",IF(N275&gt;=0.75,"B",IF(N275&gt;=0.5,"C","D"))))</x:f>
        <x:v>NEW</x:v>
      </x:c>
      <x:c r="P275" s="22"/>
      <x:c r="Q275" s="24"/>
      <x:c r="R275" s="24"/>
      <x:c r="S275" s="22"/>
    </x:row>
    <x:row r="276">
      <x:c r="A276" s="22"/>
      <x:c r="B276" s="22"/>
      <x:c r="C276" s="22"/>
      <x:c r="D276" s="22"/>
      <x:c r="E276" s="22"/>
      <x:c r="F276" s="22"/>
      <x:c r="G276" s="22"/>
      <x:c r="H276" s="22"/>
      <x:c r="I276" s="22"/>
      <x:c r="J276" s="22"/>
      <x:c r="K276" s="22"/>
      <x:c r="L276" s="22"/>
      <x:c r="M276" s="22"/>
      <x:c r="N276" s="23" t="str">
        <x:f>IF(SUM(L276:M276)=0,"",L276/SUM(L276:M276))</x:f>
      </x:c>
      <x:c r="O276" s="22" t="str">
        <x:f>IF(SUM(L276:M276)=0,"NEW",IF(N276&gt;=0.9,"A",IF(N276&gt;=0.75,"B",IF(N276&gt;=0.5,"C","D"))))</x:f>
        <x:v>NEW</x:v>
      </x:c>
      <x:c r="P276" s="22"/>
      <x:c r="Q276" s="24"/>
      <x:c r="R276" s="24"/>
      <x:c r="S276" s="22"/>
    </x:row>
    <x:row r="277">
      <x:c r="A277" s="22"/>
      <x:c r="B277" s="22"/>
      <x:c r="C277" s="22"/>
      <x:c r="D277" s="22"/>
      <x:c r="E277" s="22"/>
      <x:c r="F277" s="22"/>
      <x:c r="G277" s="22"/>
      <x:c r="H277" s="22"/>
      <x:c r="I277" s="22"/>
      <x:c r="J277" s="22"/>
      <x:c r="K277" s="22"/>
      <x:c r="L277" s="22"/>
      <x:c r="M277" s="22"/>
      <x:c r="N277" s="23" t="str">
        <x:f>IF(SUM(L277:M277)=0,"",L277/SUM(L277:M277))</x:f>
      </x:c>
      <x:c r="O277" s="22" t="str">
        <x:f>IF(SUM(L277:M277)=0,"NEW",IF(N277&gt;=0.9,"A",IF(N277&gt;=0.75,"B",IF(N277&gt;=0.5,"C","D"))))</x:f>
        <x:v>NEW</x:v>
      </x:c>
      <x:c r="P277" s="22"/>
      <x:c r="Q277" s="24"/>
      <x:c r="R277" s="24"/>
      <x:c r="S277" s="22"/>
    </x:row>
    <x:row r="278">
      <x:c r="A278" s="22"/>
      <x:c r="B278" s="22"/>
      <x:c r="C278" s="22"/>
      <x:c r="D278" s="22"/>
      <x:c r="E278" s="22"/>
      <x:c r="F278" s="22"/>
      <x:c r="G278" s="22"/>
      <x:c r="H278" s="22"/>
      <x:c r="I278" s="22"/>
      <x:c r="J278" s="22"/>
      <x:c r="K278" s="22"/>
      <x:c r="L278" s="22"/>
      <x:c r="M278" s="22"/>
      <x:c r="N278" s="23" t="str">
        <x:f>IF(SUM(L278:M278)=0,"",L278/SUM(L278:M278))</x:f>
      </x:c>
      <x:c r="O278" s="22" t="str">
        <x:f>IF(SUM(L278:M278)=0,"NEW",IF(N278&gt;=0.9,"A",IF(N278&gt;=0.75,"B",IF(N278&gt;=0.5,"C","D"))))</x:f>
        <x:v>NEW</x:v>
      </x:c>
      <x:c r="P278" s="22"/>
      <x:c r="Q278" s="24"/>
      <x:c r="R278" s="24"/>
      <x:c r="S278" s="22"/>
    </x:row>
    <x:row r="279">
      <x:c r="A279" s="22"/>
      <x:c r="B279" s="22"/>
      <x:c r="C279" s="22"/>
      <x:c r="D279" s="22"/>
      <x:c r="E279" s="22"/>
      <x:c r="F279" s="22"/>
      <x:c r="G279" s="22"/>
      <x:c r="H279" s="22"/>
      <x:c r="I279" s="22"/>
      <x:c r="J279" s="22"/>
      <x:c r="K279" s="22"/>
      <x:c r="L279" s="22"/>
      <x:c r="M279" s="22"/>
      <x:c r="N279" s="23" t="str">
        <x:f>IF(SUM(L279:M279)=0,"",L279/SUM(L279:M279))</x:f>
      </x:c>
      <x:c r="O279" s="22" t="str">
        <x:f>IF(SUM(L279:M279)=0,"NEW",IF(N279&gt;=0.9,"A",IF(N279&gt;=0.75,"B",IF(N279&gt;=0.5,"C","D"))))</x:f>
        <x:v>NEW</x:v>
      </x:c>
      <x:c r="P279" s="22"/>
      <x:c r="Q279" s="24"/>
      <x:c r="R279" s="24"/>
      <x:c r="S279" s="22"/>
    </x:row>
    <x:row r="280">
      <x:c r="A280" s="22"/>
      <x:c r="B280" s="22"/>
      <x:c r="C280" s="22"/>
      <x:c r="D280" s="22"/>
      <x:c r="E280" s="22"/>
      <x:c r="F280" s="22"/>
      <x:c r="G280" s="22"/>
      <x:c r="H280" s="22"/>
      <x:c r="I280" s="22"/>
      <x:c r="J280" s="22"/>
      <x:c r="K280" s="22"/>
      <x:c r="L280" s="22"/>
      <x:c r="M280" s="22"/>
      <x:c r="N280" s="23" t="str">
        <x:f>IF(SUM(L280:M280)=0,"",L280/SUM(L280:M280))</x:f>
      </x:c>
      <x:c r="O280" s="22" t="str">
        <x:f>IF(SUM(L280:M280)=0,"NEW",IF(N280&gt;=0.9,"A",IF(N280&gt;=0.75,"B",IF(N280&gt;=0.5,"C","D"))))</x:f>
        <x:v>NEW</x:v>
      </x:c>
      <x:c r="P280" s="22"/>
      <x:c r="Q280" s="24"/>
      <x:c r="R280" s="24"/>
      <x:c r="S280" s="22"/>
    </x:row>
    <x:row r="281">
      <x:c r="A281" s="22"/>
      <x:c r="B281" s="22"/>
      <x:c r="C281" s="22"/>
      <x:c r="D281" s="22"/>
      <x:c r="E281" s="22"/>
      <x:c r="F281" s="22"/>
      <x:c r="G281" s="22"/>
      <x:c r="H281" s="22"/>
      <x:c r="I281" s="22"/>
      <x:c r="J281" s="22"/>
      <x:c r="K281" s="22"/>
      <x:c r="L281" s="22"/>
      <x:c r="M281" s="22"/>
      <x:c r="N281" s="23" t="str">
        <x:f>IF(SUM(L281:M281)=0,"",L281/SUM(L281:M281))</x:f>
      </x:c>
      <x:c r="O281" s="22" t="str">
        <x:f>IF(SUM(L281:M281)=0,"NEW",IF(N281&gt;=0.9,"A",IF(N281&gt;=0.75,"B",IF(N281&gt;=0.5,"C","D"))))</x:f>
        <x:v>NEW</x:v>
      </x:c>
      <x:c r="P281" s="22"/>
      <x:c r="Q281" s="24"/>
      <x:c r="R281" s="24"/>
      <x:c r="S281" s="22"/>
    </x:row>
    <x:row r="282">
      <x:c r="A282" s="22"/>
      <x:c r="B282" s="22"/>
      <x:c r="C282" s="22"/>
      <x:c r="D282" s="22"/>
      <x:c r="E282" s="22"/>
      <x:c r="F282" s="22"/>
      <x:c r="G282" s="22"/>
      <x:c r="H282" s="22"/>
      <x:c r="I282" s="22"/>
      <x:c r="J282" s="22"/>
      <x:c r="K282" s="22"/>
      <x:c r="L282" s="22"/>
      <x:c r="M282" s="22"/>
      <x:c r="N282" s="23" t="str">
        <x:f>IF(SUM(L282:M282)=0,"",L282/SUM(L282:M282))</x:f>
      </x:c>
      <x:c r="O282" s="22" t="str">
        <x:f>IF(SUM(L282:M282)=0,"NEW",IF(N282&gt;=0.9,"A",IF(N282&gt;=0.75,"B",IF(N282&gt;=0.5,"C","D"))))</x:f>
        <x:v>NEW</x:v>
      </x:c>
      <x:c r="P282" s="22"/>
      <x:c r="Q282" s="24"/>
      <x:c r="R282" s="24"/>
      <x:c r="S282" s="22"/>
    </x:row>
    <x:row r="283">
      <x:c r="A283" s="22"/>
      <x:c r="B283" s="22"/>
      <x:c r="C283" s="22"/>
      <x:c r="D283" s="22"/>
      <x:c r="E283" s="22"/>
      <x:c r="F283" s="22"/>
      <x:c r="G283" s="22"/>
      <x:c r="H283" s="22"/>
      <x:c r="I283" s="22"/>
      <x:c r="J283" s="22"/>
      <x:c r="K283" s="22"/>
      <x:c r="L283" s="22"/>
      <x:c r="M283" s="22"/>
      <x:c r="N283" s="23" t="str">
        <x:f>IF(SUM(L283:M283)=0,"",L283/SUM(L283:M283))</x:f>
      </x:c>
      <x:c r="O283" s="22" t="str">
        <x:f>IF(SUM(L283:M283)=0,"NEW",IF(N283&gt;=0.9,"A",IF(N283&gt;=0.75,"B",IF(N283&gt;=0.5,"C","D"))))</x:f>
        <x:v>NEW</x:v>
      </x:c>
      <x:c r="P283" s="22"/>
      <x:c r="Q283" s="24"/>
      <x:c r="R283" s="24"/>
      <x:c r="S283" s="22"/>
    </x:row>
    <x:row r="284">
      <x:c r="A284" s="22"/>
      <x:c r="B284" s="22"/>
      <x:c r="C284" s="22"/>
      <x:c r="D284" s="22"/>
      <x:c r="E284" s="22"/>
      <x:c r="F284" s="22"/>
      <x:c r="G284" s="22"/>
      <x:c r="H284" s="22"/>
      <x:c r="I284" s="22"/>
      <x:c r="J284" s="22"/>
      <x:c r="K284" s="22"/>
      <x:c r="L284" s="22"/>
      <x:c r="M284" s="22"/>
      <x:c r="N284" s="23" t="str">
        <x:f>IF(SUM(L284:M284)=0,"",L284/SUM(L284:M284))</x:f>
      </x:c>
      <x:c r="O284" s="22" t="str">
        <x:f>IF(SUM(L284:M284)=0,"NEW",IF(N284&gt;=0.9,"A",IF(N284&gt;=0.75,"B",IF(N284&gt;=0.5,"C","D"))))</x:f>
        <x:v>NEW</x:v>
      </x:c>
      <x:c r="P284" s="22"/>
      <x:c r="Q284" s="24"/>
      <x:c r="R284" s="24"/>
      <x:c r="S284" s="22"/>
    </x:row>
    <x:row r="285">
      <x:c r="A285" s="22"/>
      <x:c r="B285" s="22"/>
      <x:c r="C285" s="22"/>
      <x:c r="D285" s="22"/>
      <x:c r="E285" s="22"/>
      <x:c r="F285" s="22"/>
      <x:c r="G285" s="22"/>
      <x:c r="H285" s="22"/>
      <x:c r="I285" s="22"/>
      <x:c r="J285" s="22"/>
      <x:c r="K285" s="22"/>
      <x:c r="L285" s="22"/>
      <x:c r="M285" s="22"/>
      <x:c r="N285" s="23" t="str">
        <x:f>IF(SUM(L285:M285)=0,"",L285/SUM(L285:M285))</x:f>
      </x:c>
      <x:c r="O285" s="22" t="str">
        <x:f>IF(SUM(L285:M285)=0,"NEW",IF(N285&gt;=0.9,"A",IF(N285&gt;=0.75,"B",IF(N285&gt;=0.5,"C","D"))))</x:f>
        <x:v>NEW</x:v>
      </x:c>
      <x:c r="P285" s="22"/>
      <x:c r="Q285" s="24"/>
      <x:c r="R285" s="24"/>
      <x:c r="S285" s="22"/>
    </x:row>
    <x:row r="286">
      <x:c r="A286" s="22"/>
      <x:c r="B286" s="22"/>
      <x:c r="C286" s="22"/>
      <x:c r="D286" s="22"/>
      <x:c r="E286" s="22"/>
      <x:c r="F286" s="22"/>
      <x:c r="G286" s="22"/>
      <x:c r="H286" s="22"/>
      <x:c r="I286" s="22"/>
      <x:c r="J286" s="22"/>
      <x:c r="K286" s="22"/>
      <x:c r="L286" s="22"/>
      <x:c r="M286" s="22"/>
      <x:c r="N286" s="23" t="str">
        <x:f>IF(SUM(L286:M286)=0,"",L286/SUM(L286:M286))</x:f>
      </x:c>
      <x:c r="O286" s="22" t="str">
        <x:f>IF(SUM(L286:M286)=0,"NEW",IF(N286&gt;=0.9,"A",IF(N286&gt;=0.75,"B",IF(N286&gt;=0.5,"C","D"))))</x:f>
        <x:v>NEW</x:v>
      </x:c>
      <x:c r="P286" s="22"/>
      <x:c r="Q286" s="24"/>
      <x:c r="R286" s="24"/>
      <x:c r="S286" s="22"/>
    </x:row>
    <x:row r="287">
      <x:c r="A287" s="22"/>
      <x:c r="B287" s="22"/>
      <x:c r="C287" s="22"/>
      <x:c r="D287" s="22"/>
      <x:c r="E287" s="22"/>
      <x:c r="F287" s="22"/>
      <x:c r="G287" s="22"/>
      <x:c r="H287" s="22"/>
      <x:c r="I287" s="22"/>
      <x:c r="J287" s="22"/>
      <x:c r="K287" s="22"/>
      <x:c r="L287" s="22"/>
      <x:c r="M287" s="22"/>
      <x:c r="N287" s="23" t="str">
        <x:f>IF(SUM(L287:M287)=0,"",L287/SUM(L287:M287))</x:f>
      </x:c>
      <x:c r="O287" s="22" t="str">
        <x:f>IF(SUM(L287:M287)=0,"NEW",IF(N287&gt;=0.9,"A",IF(N287&gt;=0.75,"B",IF(N287&gt;=0.5,"C","D"))))</x:f>
        <x:v>NEW</x:v>
      </x:c>
      <x:c r="P287" s="22"/>
      <x:c r="Q287" s="24"/>
      <x:c r="R287" s="24"/>
      <x:c r="S287" s="22"/>
    </x:row>
    <x:row r="288">
      <x:c r="A288" s="22"/>
      <x:c r="B288" s="22"/>
      <x:c r="C288" s="22"/>
      <x:c r="D288" s="22"/>
      <x:c r="E288" s="22"/>
      <x:c r="F288" s="22"/>
      <x:c r="G288" s="22"/>
      <x:c r="H288" s="22"/>
      <x:c r="I288" s="22"/>
      <x:c r="J288" s="22"/>
      <x:c r="K288" s="22"/>
      <x:c r="L288" s="22"/>
      <x:c r="M288" s="22"/>
      <x:c r="N288" s="23" t="str">
        <x:f>IF(SUM(L288:M288)=0,"",L288/SUM(L288:M288))</x:f>
      </x:c>
      <x:c r="O288" s="22" t="str">
        <x:f>IF(SUM(L288:M288)=0,"NEW",IF(N288&gt;=0.9,"A",IF(N288&gt;=0.75,"B",IF(N288&gt;=0.5,"C","D"))))</x:f>
        <x:v>NEW</x:v>
      </x:c>
      <x:c r="P288" s="22"/>
      <x:c r="Q288" s="24"/>
      <x:c r="R288" s="24"/>
      <x:c r="S288" s="22"/>
    </x:row>
    <x:row r="289">
      <x:c r="A289" s="22"/>
      <x:c r="B289" s="22"/>
      <x:c r="C289" s="22"/>
      <x:c r="D289" s="22"/>
      <x:c r="E289" s="22"/>
      <x:c r="F289" s="22"/>
      <x:c r="G289" s="22"/>
      <x:c r="H289" s="22"/>
      <x:c r="I289" s="22"/>
      <x:c r="J289" s="22"/>
      <x:c r="K289" s="22"/>
      <x:c r="L289" s="22"/>
      <x:c r="M289" s="22"/>
      <x:c r="N289" s="23" t="str">
        <x:f>IF(SUM(L289:M289)=0,"",L289/SUM(L289:M289))</x:f>
      </x:c>
      <x:c r="O289" s="22" t="str">
        <x:f>IF(SUM(L289:M289)=0,"NEW",IF(N289&gt;=0.9,"A",IF(N289&gt;=0.75,"B",IF(N289&gt;=0.5,"C","D"))))</x:f>
        <x:v>NEW</x:v>
      </x:c>
      <x:c r="P289" s="22"/>
      <x:c r="Q289" s="24"/>
      <x:c r="R289" s="24"/>
      <x:c r="S289" s="22"/>
    </x:row>
    <x:row r="290">
      <x:c r="A290" s="22"/>
      <x:c r="B290" s="22"/>
      <x:c r="C290" s="22"/>
      <x:c r="D290" s="22"/>
      <x:c r="E290" s="22"/>
      <x:c r="F290" s="22"/>
      <x:c r="G290" s="22"/>
      <x:c r="H290" s="22"/>
      <x:c r="I290" s="22"/>
      <x:c r="J290" s="22"/>
      <x:c r="K290" s="22"/>
      <x:c r="L290" s="22"/>
      <x:c r="M290" s="22"/>
      <x:c r="N290" s="23" t="str">
        <x:f>IF(SUM(L290:M290)=0,"",L290/SUM(L290:M290))</x:f>
      </x:c>
      <x:c r="O290" s="22" t="str">
        <x:f>IF(SUM(L290:M290)=0,"NEW",IF(N290&gt;=0.9,"A",IF(N290&gt;=0.75,"B",IF(N290&gt;=0.5,"C","D"))))</x:f>
        <x:v>NEW</x:v>
      </x:c>
      <x:c r="P290" s="22"/>
      <x:c r="Q290" s="24"/>
      <x:c r="R290" s="24"/>
      <x:c r="S290" s="22"/>
    </x:row>
    <x:row r="291">
      <x:c r="A291" s="22"/>
      <x:c r="B291" s="22"/>
      <x:c r="C291" s="22"/>
      <x:c r="D291" s="22"/>
      <x:c r="E291" s="22"/>
      <x:c r="F291" s="22"/>
      <x:c r="G291" s="22"/>
      <x:c r="H291" s="22"/>
      <x:c r="I291" s="22"/>
      <x:c r="J291" s="22"/>
      <x:c r="K291" s="22"/>
      <x:c r="L291" s="22"/>
      <x:c r="M291" s="22"/>
      <x:c r="N291" s="23" t="str">
        <x:f>IF(SUM(L291:M291)=0,"",L291/SUM(L291:M291))</x:f>
      </x:c>
      <x:c r="O291" s="22" t="str">
        <x:f>IF(SUM(L291:M291)=0,"NEW",IF(N291&gt;=0.9,"A",IF(N291&gt;=0.75,"B",IF(N291&gt;=0.5,"C","D"))))</x:f>
        <x:v>NEW</x:v>
      </x:c>
      <x:c r="P291" s="22"/>
      <x:c r="Q291" s="24"/>
      <x:c r="R291" s="24"/>
      <x:c r="S291" s="22"/>
    </x:row>
    <x:row r="292">
      <x:c r="A292" s="22"/>
      <x:c r="B292" s="22"/>
      <x:c r="C292" s="22"/>
      <x:c r="D292" s="22"/>
      <x:c r="E292" s="22"/>
      <x:c r="F292" s="22"/>
      <x:c r="G292" s="22"/>
      <x:c r="H292" s="22"/>
      <x:c r="I292" s="22"/>
      <x:c r="J292" s="22"/>
      <x:c r="K292" s="22"/>
      <x:c r="L292" s="22"/>
      <x:c r="M292" s="22"/>
      <x:c r="N292" s="23" t="str">
        <x:f>IF(SUM(L292:M292)=0,"",L292/SUM(L292:M292))</x:f>
      </x:c>
      <x:c r="O292" s="22" t="str">
        <x:f>IF(SUM(L292:M292)=0,"NEW",IF(N292&gt;=0.9,"A",IF(N292&gt;=0.75,"B",IF(N292&gt;=0.5,"C","D"))))</x:f>
        <x:v>NEW</x:v>
      </x:c>
      <x:c r="P292" s="22"/>
      <x:c r="Q292" s="24"/>
      <x:c r="R292" s="24"/>
      <x:c r="S292" s="22"/>
    </x:row>
    <x:row r="293">
      <x:c r="A293" s="22"/>
      <x:c r="B293" s="22"/>
      <x:c r="C293" s="22"/>
      <x:c r="D293" s="22"/>
      <x:c r="E293" s="22"/>
      <x:c r="F293" s="22"/>
      <x:c r="G293" s="22"/>
      <x:c r="H293" s="22"/>
      <x:c r="I293" s="22"/>
      <x:c r="J293" s="22"/>
      <x:c r="K293" s="22"/>
      <x:c r="L293" s="22"/>
      <x:c r="M293" s="22"/>
      <x:c r="N293" s="23" t="str">
        <x:f>IF(SUM(L293:M293)=0,"",L293/SUM(L293:M293))</x:f>
      </x:c>
      <x:c r="O293" s="22" t="str">
        <x:f>IF(SUM(L293:M293)=0,"NEW",IF(N293&gt;=0.9,"A",IF(N293&gt;=0.75,"B",IF(N293&gt;=0.5,"C","D"))))</x:f>
        <x:v>NEW</x:v>
      </x:c>
      <x:c r="P293" s="22"/>
      <x:c r="Q293" s="24"/>
      <x:c r="R293" s="24"/>
      <x:c r="S293" s="22"/>
    </x:row>
    <x:row r="294">
      <x:c r="A294" s="22"/>
      <x:c r="B294" s="22"/>
      <x:c r="C294" s="22"/>
      <x:c r="D294" s="22"/>
      <x:c r="E294" s="22"/>
      <x:c r="F294" s="22"/>
      <x:c r="G294" s="22"/>
      <x:c r="H294" s="22"/>
      <x:c r="I294" s="22"/>
      <x:c r="J294" s="22"/>
      <x:c r="K294" s="22"/>
      <x:c r="L294" s="22"/>
      <x:c r="M294" s="22"/>
      <x:c r="N294" s="23" t="str">
        <x:f>IF(SUM(L294:M294)=0,"",L294/SUM(L294:M294))</x:f>
      </x:c>
      <x:c r="O294" s="22" t="str">
        <x:f>IF(SUM(L294:M294)=0,"NEW",IF(N294&gt;=0.9,"A",IF(N294&gt;=0.75,"B",IF(N294&gt;=0.5,"C","D"))))</x:f>
        <x:v>NEW</x:v>
      </x:c>
      <x:c r="P294" s="22"/>
      <x:c r="Q294" s="24"/>
      <x:c r="R294" s="24"/>
      <x:c r="S294" s="22"/>
    </x:row>
    <x:row r="295">
      <x:c r="A295" s="22"/>
      <x:c r="B295" s="22"/>
      <x:c r="C295" s="22"/>
      <x:c r="D295" s="22"/>
      <x:c r="E295" s="22"/>
      <x:c r="F295" s="22"/>
      <x:c r="G295" s="22"/>
      <x:c r="H295" s="22"/>
      <x:c r="I295" s="22"/>
      <x:c r="J295" s="22"/>
      <x:c r="K295" s="22"/>
      <x:c r="L295" s="22"/>
      <x:c r="M295" s="22"/>
      <x:c r="N295" s="23" t="str">
        <x:f>IF(SUM(L295:M295)=0,"",L295/SUM(L295:M295))</x:f>
      </x:c>
      <x:c r="O295" s="22" t="str">
        <x:f>IF(SUM(L295:M295)=0,"NEW",IF(N295&gt;=0.9,"A",IF(N295&gt;=0.75,"B",IF(N295&gt;=0.5,"C","D"))))</x:f>
        <x:v>NEW</x:v>
      </x:c>
      <x:c r="P295" s="22"/>
      <x:c r="Q295" s="24"/>
      <x:c r="R295" s="24"/>
      <x:c r="S295" s="22"/>
    </x:row>
    <x:row r="296">
      <x:c r="A296" s="22"/>
      <x:c r="B296" s="22"/>
      <x:c r="C296" s="22"/>
      <x:c r="D296" s="22"/>
      <x:c r="E296" s="22"/>
      <x:c r="F296" s="22"/>
      <x:c r="G296" s="22"/>
      <x:c r="H296" s="22"/>
      <x:c r="I296" s="22"/>
      <x:c r="J296" s="22"/>
      <x:c r="K296" s="22"/>
      <x:c r="L296" s="22"/>
      <x:c r="M296" s="22"/>
      <x:c r="N296" s="23" t="str">
        <x:f>IF(SUM(L296:M296)=0,"",L296/SUM(L296:M296))</x:f>
      </x:c>
      <x:c r="O296" s="22" t="str">
        <x:f>IF(SUM(L296:M296)=0,"NEW",IF(N296&gt;=0.9,"A",IF(N296&gt;=0.75,"B",IF(N296&gt;=0.5,"C","D"))))</x:f>
        <x:v>NEW</x:v>
      </x:c>
      <x:c r="P296" s="22"/>
      <x:c r="Q296" s="24"/>
      <x:c r="R296" s="24"/>
      <x:c r="S296" s="22"/>
    </x:row>
    <x:row r="297">
      <x:c r="A297" s="22"/>
      <x:c r="B297" s="22"/>
      <x:c r="C297" s="22"/>
      <x:c r="D297" s="22"/>
      <x:c r="E297" s="22"/>
      <x:c r="F297" s="22"/>
      <x:c r="G297" s="22"/>
      <x:c r="H297" s="22"/>
      <x:c r="I297" s="22"/>
      <x:c r="J297" s="22"/>
      <x:c r="K297" s="22"/>
      <x:c r="L297" s="22"/>
      <x:c r="M297" s="22"/>
      <x:c r="N297" s="23" t="str">
        <x:f>IF(SUM(L297:M297)=0,"",L297/SUM(L297:M297))</x:f>
      </x:c>
      <x:c r="O297" s="22" t="str">
        <x:f>IF(SUM(L297:M297)=0,"NEW",IF(N297&gt;=0.9,"A",IF(N297&gt;=0.75,"B",IF(N297&gt;=0.5,"C","D"))))</x:f>
        <x:v>NEW</x:v>
      </x:c>
      <x:c r="P297" s="22"/>
      <x:c r="Q297" s="24"/>
      <x:c r="R297" s="24"/>
      <x:c r="S297" s="22"/>
    </x:row>
    <x:row r="298">
      <x:c r="A298" s="22"/>
      <x:c r="B298" s="22"/>
      <x:c r="C298" s="22"/>
      <x:c r="D298" s="22"/>
      <x:c r="E298" s="22"/>
      <x:c r="F298" s="22"/>
      <x:c r="G298" s="22"/>
      <x:c r="H298" s="22"/>
      <x:c r="I298" s="22"/>
      <x:c r="J298" s="22"/>
      <x:c r="K298" s="22"/>
      <x:c r="L298" s="22"/>
      <x:c r="M298" s="22"/>
      <x:c r="N298" s="23" t="str">
        <x:f>IF(SUM(L298:M298)=0,"",L298/SUM(L298:M298))</x:f>
      </x:c>
      <x:c r="O298" s="22" t="str">
        <x:f>IF(SUM(L298:M298)=0,"NEW",IF(N298&gt;=0.9,"A",IF(N298&gt;=0.75,"B",IF(N298&gt;=0.5,"C","D"))))</x:f>
        <x:v>NEW</x:v>
      </x:c>
      <x:c r="P298" s="22"/>
      <x:c r="Q298" s="24"/>
      <x:c r="R298" s="24"/>
      <x:c r="S298" s="22"/>
    </x:row>
    <x:row r="299">
      <x:c r="A299" s="22"/>
      <x:c r="B299" s="22"/>
      <x:c r="C299" s="22"/>
      <x:c r="D299" s="22"/>
      <x:c r="E299" s="22"/>
      <x:c r="F299" s="22"/>
      <x:c r="G299" s="22"/>
      <x:c r="H299" s="22"/>
      <x:c r="I299" s="22"/>
      <x:c r="J299" s="22"/>
      <x:c r="K299" s="22"/>
      <x:c r="L299" s="22"/>
      <x:c r="M299" s="22"/>
      <x:c r="N299" s="23" t="str">
        <x:f>IF(SUM(L299:M299)=0,"",L299/SUM(L299:M299))</x:f>
      </x:c>
      <x:c r="O299" s="22" t="str">
        <x:f>IF(SUM(L299:M299)=0,"NEW",IF(N299&gt;=0.9,"A",IF(N299&gt;=0.75,"B",IF(N299&gt;=0.5,"C","D"))))</x:f>
        <x:v>NEW</x:v>
      </x:c>
      <x:c r="P299" s="22"/>
      <x:c r="Q299" s="24"/>
      <x:c r="R299" s="24"/>
      <x:c r="S299" s="22"/>
    </x:row>
    <x:row r="300">
      <x:c r="A300" s="22"/>
      <x:c r="B300" s="22"/>
      <x:c r="C300" s="22"/>
      <x:c r="D300" s="22"/>
      <x:c r="E300" s="22"/>
      <x:c r="F300" s="22"/>
      <x:c r="G300" s="22"/>
      <x:c r="H300" s="22"/>
      <x:c r="I300" s="22"/>
      <x:c r="J300" s="22"/>
      <x:c r="K300" s="22"/>
      <x:c r="L300" s="22"/>
      <x:c r="M300" s="22"/>
      <x:c r="N300" s="23" t="str">
        <x:f>IF(SUM(L300:M300)=0,"",L300/SUM(L300:M300))</x:f>
      </x:c>
      <x:c r="O300" s="22" t="str">
        <x:f>IF(SUM(L300:M300)=0,"NEW",IF(N300&gt;=0.9,"A",IF(N300&gt;=0.75,"B",IF(N300&gt;=0.5,"C","D"))))</x:f>
        <x:v>NEW</x:v>
      </x:c>
      <x:c r="P300" s="22"/>
      <x:c r="Q300" s="24"/>
      <x:c r="R300" s="24"/>
      <x:c r="S300" s="22"/>
    </x:row>
    <x:row r="301">
      <x:c r="A301" s="22"/>
      <x:c r="B301" s="22"/>
      <x:c r="C301" s="22"/>
      <x:c r="D301" s="22"/>
      <x:c r="E301" s="22"/>
      <x:c r="F301" s="22"/>
      <x:c r="G301" s="22"/>
      <x:c r="H301" s="22"/>
      <x:c r="I301" s="22"/>
      <x:c r="J301" s="22"/>
      <x:c r="K301" s="22"/>
      <x:c r="L301" s="22"/>
      <x:c r="M301" s="22"/>
      <x:c r="N301" s="23" t="str">
        <x:f>IF(SUM(L301:M301)=0,"",L301/SUM(L301:M301))</x:f>
      </x:c>
      <x:c r="O301" s="22" t="str">
        <x:f>IF(SUM(L301:M301)=0,"NEW",IF(N301&gt;=0.9,"A",IF(N301&gt;=0.75,"B",IF(N301&gt;=0.5,"C","D"))))</x:f>
        <x:v>NEW</x:v>
      </x:c>
      <x:c r="P301" s="22"/>
      <x:c r="Q301" s="24"/>
      <x:c r="R301" s="24"/>
      <x:c r="S301" s="22"/>
    </x:row>
    <x:row r="302">
      <x:c r="A302" s="22"/>
      <x:c r="B302" s="22"/>
      <x:c r="C302" s="22"/>
      <x:c r="D302" s="22"/>
      <x:c r="E302" s="22"/>
      <x:c r="F302" s="22"/>
      <x:c r="G302" s="22"/>
      <x:c r="H302" s="22"/>
      <x:c r="I302" s="22"/>
      <x:c r="J302" s="22"/>
      <x:c r="K302" s="22"/>
      <x:c r="L302" s="22"/>
      <x:c r="M302" s="22"/>
      <x:c r="N302" s="23" t="str">
        <x:f>IF(SUM(L302:M302)=0,"",L302/SUM(L302:M302))</x:f>
      </x:c>
      <x:c r="O302" s="22" t="str">
        <x:f>IF(SUM(L302:M302)=0,"NEW",IF(N302&gt;=0.9,"A",IF(N302&gt;=0.75,"B",IF(N302&gt;=0.5,"C","D"))))</x:f>
        <x:v>NEW</x:v>
      </x:c>
      <x:c r="P302" s="22"/>
      <x:c r="Q302" s="24"/>
      <x:c r="R302" s="24"/>
      <x:c r="S302" s="22"/>
    </x:row>
    <x:row r="303">
      <x:c r="A303" s="22"/>
      <x:c r="B303" s="22"/>
      <x:c r="C303" s="22"/>
      <x:c r="D303" s="22"/>
      <x:c r="E303" s="22"/>
      <x:c r="F303" s="22"/>
      <x:c r="G303" s="22"/>
      <x:c r="H303" s="22"/>
      <x:c r="I303" s="22"/>
      <x:c r="J303" s="22"/>
      <x:c r="K303" s="22"/>
      <x:c r="L303" s="22"/>
      <x:c r="M303" s="22"/>
      <x:c r="N303" s="23" t="str">
        <x:f>IF(SUM(L303:M303)=0,"",L303/SUM(L303:M303))</x:f>
      </x:c>
      <x:c r="O303" s="22" t="str">
        <x:f>IF(SUM(L303:M303)=0,"NEW",IF(N303&gt;=0.9,"A",IF(N303&gt;=0.75,"B",IF(N303&gt;=0.5,"C","D"))))</x:f>
        <x:v>NEW</x:v>
      </x:c>
      <x:c r="P303" s="22"/>
      <x:c r="Q303" s="24"/>
      <x:c r="R303" s="24"/>
      <x:c r="S303" s="22"/>
    </x:row>
    <x:row r="304">
      <x:c r="A304" s="22"/>
      <x:c r="B304" s="22"/>
      <x:c r="C304" s="22"/>
      <x:c r="D304" s="22"/>
      <x:c r="E304" s="22"/>
      <x:c r="F304" s="22"/>
      <x:c r="G304" s="22"/>
      <x:c r="H304" s="22"/>
      <x:c r="I304" s="22"/>
      <x:c r="J304" s="22"/>
      <x:c r="K304" s="22"/>
      <x:c r="L304" s="22"/>
      <x:c r="M304" s="22"/>
      <x:c r="N304" s="23" t="str">
        <x:f>IF(SUM(L304:M304)=0,"",L304/SUM(L304:M304))</x:f>
      </x:c>
      <x:c r="O304" s="22" t="str">
        <x:f>IF(SUM(L304:M304)=0,"NEW",IF(N304&gt;=0.9,"A",IF(N304&gt;=0.75,"B",IF(N304&gt;=0.5,"C","D"))))</x:f>
        <x:v>NEW</x:v>
      </x:c>
      <x:c r="P304" s="22"/>
      <x:c r="Q304" s="24"/>
      <x:c r="R304" s="24"/>
      <x:c r="S304" s="22"/>
    </x:row>
    <x:row r="305">
      <x:c r="A305" s="22"/>
      <x:c r="B305" s="22"/>
      <x:c r="C305" s="22"/>
      <x:c r="D305" s="22"/>
      <x:c r="E305" s="22"/>
      <x:c r="F305" s="22"/>
      <x:c r="G305" s="22"/>
      <x:c r="H305" s="22"/>
      <x:c r="I305" s="22"/>
      <x:c r="J305" s="22"/>
      <x:c r="K305" s="22"/>
      <x:c r="L305" s="22"/>
      <x:c r="M305" s="22"/>
      <x:c r="N305" s="23" t="str">
        <x:f>IF(SUM(L305:M305)=0,"",L305/SUM(L305:M305))</x:f>
      </x:c>
      <x:c r="O305" s="22" t="str">
        <x:f>IF(SUM(L305:M305)=0,"NEW",IF(N305&gt;=0.9,"A",IF(N305&gt;=0.75,"B",IF(N305&gt;=0.5,"C","D"))))</x:f>
        <x:v>NEW</x:v>
      </x:c>
      <x:c r="P305" s="22"/>
      <x:c r="Q305" s="24"/>
      <x:c r="R305" s="24"/>
      <x:c r="S305" s="22"/>
    </x:row>
    <x:row r="306">
      <x:c r="A306" s="22"/>
      <x:c r="B306" s="22"/>
      <x:c r="C306" s="22"/>
      <x:c r="D306" s="22"/>
      <x:c r="E306" s="22"/>
      <x:c r="F306" s="22"/>
      <x:c r="G306" s="22"/>
      <x:c r="H306" s="22"/>
      <x:c r="I306" s="22"/>
      <x:c r="J306" s="22"/>
      <x:c r="K306" s="22"/>
      <x:c r="L306" s="22"/>
      <x:c r="M306" s="22"/>
      <x:c r="N306" s="23" t="str">
        <x:f>IF(SUM(L306:M306)=0,"",L306/SUM(L306:M306))</x:f>
      </x:c>
      <x:c r="O306" s="22" t="str">
        <x:f>IF(SUM(L306:M306)=0,"NEW",IF(N306&gt;=0.9,"A",IF(N306&gt;=0.75,"B",IF(N306&gt;=0.5,"C","D"))))</x:f>
        <x:v>NEW</x:v>
      </x:c>
      <x:c r="P306" s="22"/>
      <x:c r="Q306" s="24"/>
      <x:c r="R306" s="24"/>
      <x:c r="S306" s="22"/>
    </x:row>
    <x:row r="307">
      <x:c r="A307" s="22"/>
      <x:c r="B307" s="22"/>
      <x:c r="C307" s="22"/>
      <x:c r="D307" s="22"/>
      <x:c r="E307" s="22"/>
      <x:c r="F307" s="22"/>
      <x:c r="G307" s="22"/>
      <x:c r="H307" s="22"/>
      <x:c r="I307" s="22"/>
      <x:c r="J307" s="22"/>
      <x:c r="K307" s="22"/>
      <x:c r="L307" s="22"/>
      <x:c r="M307" s="22"/>
      <x:c r="N307" s="23" t="str">
        <x:f>IF(SUM(L307:M307)=0,"",L307/SUM(L307:M307))</x:f>
      </x:c>
      <x:c r="O307" s="22" t="str">
        <x:f>IF(SUM(L307:M307)=0,"NEW",IF(N307&gt;=0.9,"A",IF(N307&gt;=0.75,"B",IF(N307&gt;=0.5,"C","D"))))</x:f>
        <x:v>NEW</x:v>
      </x:c>
      <x:c r="P307" s="22"/>
      <x:c r="Q307" s="24"/>
      <x:c r="R307" s="24"/>
      <x:c r="S307" s="22"/>
    </x:row>
    <x:row r="308">
      <x:c r="A308" s="22"/>
      <x:c r="B308" s="22"/>
      <x:c r="C308" s="22"/>
      <x:c r="D308" s="22"/>
      <x:c r="E308" s="22"/>
      <x:c r="F308" s="22"/>
      <x:c r="G308" s="22"/>
      <x:c r="H308" s="22"/>
      <x:c r="I308" s="22"/>
      <x:c r="J308" s="22"/>
      <x:c r="K308" s="22"/>
      <x:c r="L308" s="22"/>
      <x:c r="M308" s="22"/>
      <x:c r="N308" s="23" t="str">
        <x:f>IF(SUM(L308:M308)=0,"",L308/SUM(L308:M308))</x:f>
      </x:c>
      <x:c r="O308" s="22" t="str">
        <x:f>IF(SUM(L308:M308)=0,"NEW",IF(N308&gt;=0.9,"A",IF(N308&gt;=0.75,"B",IF(N308&gt;=0.5,"C","D"))))</x:f>
        <x:v>NEW</x:v>
      </x:c>
      <x:c r="P308" s="22"/>
      <x:c r="Q308" s="24"/>
      <x:c r="R308" s="24"/>
      <x:c r="S308" s="22"/>
    </x:row>
    <x:row r="309">
      <x:c r="A309" s="22"/>
      <x:c r="B309" s="22"/>
      <x:c r="C309" s="22"/>
      <x:c r="D309" s="22"/>
      <x:c r="E309" s="22"/>
      <x:c r="F309" s="22"/>
      <x:c r="G309" s="22"/>
      <x:c r="H309" s="22"/>
      <x:c r="I309" s="22"/>
      <x:c r="J309" s="22"/>
      <x:c r="K309" s="22"/>
      <x:c r="L309" s="22"/>
      <x:c r="M309" s="22"/>
      <x:c r="N309" s="23" t="str">
        <x:f>IF(SUM(L309:M309)=0,"",L309/SUM(L309:M309))</x:f>
      </x:c>
      <x:c r="O309" s="22" t="str">
        <x:f>IF(SUM(L309:M309)=0,"NEW",IF(N309&gt;=0.9,"A",IF(N309&gt;=0.75,"B",IF(N309&gt;=0.5,"C","D"))))</x:f>
        <x:v>NEW</x:v>
      </x:c>
      <x:c r="P309" s="22"/>
      <x:c r="Q309" s="24"/>
      <x:c r="R309" s="24"/>
      <x:c r="S309" s="22"/>
    </x:row>
    <x:row r="310">
      <x:c r="A310" s="22"/>
      <x:c r="B310" s="22"/>
      <x:c r="C310" s="22"/>
      <x:c r="D310" s="22"/>
      <x:c r="E310" s="22"/>
      <x:c r="F310" s="22"/>
      <x:c r="G310" s="22"/>
      <x:c r="H310" s="22"/>
      <x:c r="I310" s="22"/>
      <x:c r="J310" s="22"/>
      <x:c r="K310" s="22"/>
      <x:c r="L310" s="22"/>
      <x:c r="M310" s="22"/>
      <x:c r="N310" s="23" t="str">
        <x:f>IF(SUM(L310:M310)=0,"",L310/SUM(L310:M310))</x:f>
      </x:c>
      <x:c r="O310" s="22" t="str">
        <x:f>IF(SUM(L310:M310)=0,"NEW",IF(N310&gt;=0.9,"A",IF(N310&gt;=0.75,"B",IF(N310&gt;=0.5,"C","D"))))</x:f>
        <x:v>NEW</x:v>
      </x:c>
      <x:c r="P310" s="22"/>
      <x:c r="Q310" s="24"/>
      <x:c r="R310" s="24"/>
      <x:c r="S310" s="22"/>
    </x:row>
    <x:row r="311">
      <x:c r="A311" s="22"/>
      <x:c r="B311" s="22"/>
      <x:c r="C311" s="22"/>
      <x:c r="D311" s="22"/>
      <x:c r="E311" s="22"/>
      <x:c r="F311" s="22"/>
      <x:c r="G311" s="22"/>
      <x:c r="H311" s="22"/>
      <x:c r="I311" s="22"/>
      <x:c r="J311" s="22"/>
      <x:c r="K311" s="22"/>
      <x:c r="L311" s="22"/>
      <x:c r="M311" s="22"/>
      <x:c r="N311" s="23" t="str">
        <x:f>IF(SUM(L311:M311)=0,"",L311/SUM(L311:M311))</x:f>
      </x:c>
      <x:c r="O311" s="22" t="str">
        <x:f>IF(SUM(L311:M311)=0,"NEW",IF(N311&gt;=0.9,"A",IF(N311&gt;=0.75,"B",IF(N311&gt;=0.5,"C","D"))))</x:f>
        <x:v>NEW</x:v>
      </x:c>
      <x:c r="P311" s="22"/>
      <x:c r="Q311" s="24"/>
      <x:c r="R311" s="24"/>
      <x:c r="S311" s="22"/>
    </x:row>
    <x:row r="312">
      <x:c r="A312" s="22"/>
      <x:c r="B312" s="22"/>
      <x:c r="C312" s="22"/>
      <x:c r="D312" s="22"/>
      <x:c r="E312" s="22"/>
      <x:c r="F312" s="22"/>
      <x:c r="G312" s="22"/>
      <x:c r="H312" s="22"/>
      <x:c r="I312" s="22"/>
      <x:c r="J312" s="22"/>
      <x:c r="K312" s="22"/>
      <x:c r="L312" s="22"/>
      <x:c r="M312" s="22"/>
      <x:c r="N312" s="23" t="str">
        <x:f>IF(SUM(L312:M312)=0,"",L312/SUM(L312:M312))</x:f>
      </x:c>
      <x:c r="O312" s="22" t="str">
        <x:f>IF(SUM(L312:M312)=0,"NEW",IF(N312&gt;=0.9,"A",IF(N312&gt;=0.75,"B",IF(N312&gt;=0.5,"C","D"))))</x:f>
        <x:v>NEW</x:v>
      </x:c>
      <x:c r="P312" s="22"/>
      <x:c r="Q312" s="24"/>
      <x:c r="R312" s="24"/>
      <x:c r="S312" s="22"/>
    </x:row>
    <x:row r="313">
      <x:c r="A313" s="22"/>
      <x:c r="B313" s="22"/>
      <x:c r="C313" s="22"/>
      <x:c r="D313" s="22"/>
      <x:c r="E313" s="22"/>
      <x:c r="F313" s="22"/>
      <x:c r="G313" s="22"/>
      <x:c r="H313" s="22"/>
      <x:c r="I313" s="22"/>
      <x:c r="J313" s="22"/>
      <x:c r="K313" s="22"/>
      <x:c r="L313" s="22"/>
      <x:c r="M313" s="22"/>
      <x:c r="N313" s="23" t="str">
        <x:f>IF(SUM(L313:M313)=0,"",L313/SUM(L313:M313))</x:f>
      </x:c>
      <x:c r="O313" s="22" t="str">
        <x:f>IF(SUM(L313:M313)=0,"NEW",IF(N313&gt;=0.9,"A",IF(N313&gt;=0.75,"B",IF(N313&gt;=0.5,"C","D"))))</x:f>
        <x:v>NEW</x:v>
      </x:c>
      <x:c r="P313" s="22"/>
      <x:c r="Q313" s="24"/>
      <x:c r="R313" s="24"/>
      <x:c r="S313" s="22"/>
    </x:row>
    <x:row r="314">
      <x:c r="A314" s="22"/>
      <x:c r="B314" s="22"/>
      <x:c r="C314" s="22"/>
      <x:c r="D314" s="22"/>
      <x:c r="E314" s="22"/>
      <x:c r="F314" s="22"/>
      <x:c r="G314" s="22"/>
      <x:c r="H314" s="22"/>
      <x:c r="I314" s="22"/>
      <x:c r="J314" s="22"/>
      <x:c r="K314" s="22"/>
      <x:c r="L314" s="22"/>
      <x:c r="M314" s="22"/>
      <x:c r="N314" s="23" t="str">
        <x:f>IF(SUM(L314:M314)=0,"",L314/SUM(L314:M314))</x:f>
      </x:c>
      <x:c r="O314" s="22" t="str">
        <x:f>IF(SUM(L314:M314)=0,"NEW",IF(N314&gt;=0.9,"A",IF(N314&gt;=0.75,"B",IF(N314&gt;=0.5,"C","D"))))</x:f>
        <x:v>NEW</x:v>
      </x:c>
      <x:c r="P314" s="22"/>
      <x:c r="Q314" s="24"/>
      <x:c r="R314" s="24"/>
      <x:c r="S314" s="22"/>
    </x:row>
    <x:row r="315">
      <x:c r="A315" s="22"/>
      <x:c r="B315" s="22"/>
      <x:c r="C315" s="22"/>
      <x:c r="D315" s="22"/>
      <x:c r="E315" s="22"/>
      <x:c r="F315" s="22"/>
      <x:c r="G315" s="22"/>
      <x:c r="H315" s="22"/>
      <x:c r="I315" s="22"/>
      <x:c r="J315" s="22"/>
      <x:c r="K315" s="22"/>
      <x:c r="L315" s="22"/>
      <x:c r="M315" s="22"/>
      <x:c r="N315" s="23" t="str">
        <x:f>IF(SUM(L315:M315)=0,"",L315/SUM(L315:M315))</x:f>
      </x:c>
      <x:c r="O315" s="22" t="str">
        <x:f>IF(SUM(L315:M315)=0,"NEW",IF(N315&gt;=0.9,"A",IF(N315&gt;=0.75,"B",IF(N315&gt;=0.5,"C","D"))))</x:f>
        <x:v>NEW</x:v>
      </x:c>
      <x:c r="P315" s="22"/>
      <x:c r="Q315" s="24"/>
      <x:c r="R315" s="24"/>
      <x:c r="S315" s="22"/>
    </x:row>
    <x:row r="316">
      <x:c r="A316" s="22"/>
      <x:c r="B316" s="22"/>
      <x:c r="C316" s="22"/>
      <x:c r="D316" s="22"/>
      <x:c r="E316" s="22"/>
      <x:c r="F316" s="22"/>
      <x:c r="G316" s="22"/>
      <x:c r="H316" s="22"/>
      <x:c r="I316" s="22"/>
      <x:c r="J316" s="22"/>
      <x:c r="K316" s="22"/>
      <x:c r="L316" s="22"/>
      <x:c r="M316" s="22"/>
      <x:c r="N316" s="23" t="str">
        <x:f>IF(SUM(L316:M316)=0,"",L316/SUM(L316:M316))</x:f>
      </x:c>
      <x:c r="O316" s="22" t="str">
        <x:f>IF(SUM(L316:M316)=0,"NEW",IF(N316&gt;=0.9,"A",IF(N316&gt;=0.75,"B",IF(N316&gt;=0.5,"C","D"))))</x:f>
        <x:v>NEW</x:v>
      </x:c>
      <x:c r="P316" s="22"/>
      <x:c r="Q316" s="24"/>
      <x:c r="R316" s="24"/>
      <x:c r="S316" s="22"/>
    </x:row>
    <x:row r="317">
      <x:c r="A317" s="22"/>
      <x:c r="B317" s="22"/>
      <x:c r="C317" s="22"/>
      <x:c r="D317" s="22"/>
      <x:c r="E317" s="22"/>
      <x:c r="F317" s="22"/>
      <x:c r="G317" s="22"/>
      <x:c r="H317" s="22"/>
      <x:c r="I317" s="22"/>
      <x:c r="J317" s="22"/>
      <x:c r="K317" s="22"/>
      <x:c r="L317" s="22"/>
      <x:c r="M317" s="22"/>
      <x:c r="N317" s="23" t="str">
        <x:f>IF(SUM(L317:M317)=0,"",L317/SUM(L317:M317))</x:f>
      </x:c>
      <x:c r="O317" s="22" t="str">
        <x:f>IF(SUM(L317:M317)=0,"NEW",IF(N317&gt;=0.9,"A",IF(N317&gt;=0.75,"B",IF(N317&gt;=0.5,"C","D"))))</x:f>
        <x:v>NEW</x:v>
      </x:c>
      <x:c r="P317" s="22"/>
      <x:c r="Q317" s="24"/>
      <x:c r="R317" s="24"/>
      <x:c r="S317" s="22"/>
    </x:row>
    <x:row r="318">
      <x:c r="A318" s="22"/>
      <x:c r="B318" s="22"/>
      <x:c r="C318" s="22"/>
      <x:c r="D318" s="22"/>
      <x:c r="E318" s="22"/>
      <x:c r="F318" s="22"/>
      <x:c r="G318" s="22"/>
      <x:c r="H318" s="22"/>
      <x:c r="I318" s="22"/>
      <x:c r="J318" s="22"/>
      <x:c r="K318" s="22"/>
      <x:c r="L318" s="22"/>
      <x:c r="M318" s="22"/>
      <x:c r="N318" s="23" t="str">
        <x:f>IF(SUM(L318:M318)=0,"",L318/SUM(L318:M318))</x:f>
      </x:c>
      <x:c r="O318" s="22" t="str">
        <x:f>IF(SUM(L318:M318)=0,"NEW",IF(N318&gt;=0.9,"A",IF(N318&gt;=0.75,"B",IF(N318&gt;=0.5,"C","D"))))</x:f>
        <x:v>NEW</x:v>
      </x:c>
      <x:c r="P318" s="22"/>
      <x:c r="Q318" s="24"/>
      <x:c r="R318" s="24"/>
      <x:c r="S318" s="22"/>
    </x:row>
    <x:row r="319">
      <x:c r="A319" s="22"/>
      <x:c r="B319" s="22"/>
      <x:c r="C319" s="22"/>
      <x:c r="D319" s="22"/>
      <x:c r="E319" s="22"/>
      <x:c r="F319" s="22"/>
      <x:c r="G319" s="22"/>
      <x:c r="H319" s="22"/>
      <x:c r="I319" s="22"/>
      <x:c r="J319" s="22"/>
      <x:c r="K319" s="22"/>
      <x:c r="L319" s="22"/>
      <x:c r="M319" s="22"/>
      <x:c r="N319" s="23" t="str">
        <x:f>IF(SUM(L319:M319)=0,"",L319/SUM(L319:M319))</x:f>
      </x:c>
      <x:c r="O319" s="22" t="str">
        <x:f>IF(SUM(L319:M319)=0,"NEW",IF(N319&gt;=0.9,"A",IF(N319&gt;=0.75,"B",IF(N319&gt;=0.5,"C","D"))))</x:f>
        <x:v>NEW</x:v>
      </x:c>
      <x:c r="P319" s="22"/>
      <x:c r="Q319" s="24"/>
      <x:c r="R319" s="24"/>
      <x:c r="S319" s="22"/>
    </x:row>
    <x:row r="320">
      <x:c r="A320" s="22"/>
      <x:c r="B320" s="22"/>
      <x:c r="C320" s="22"/>
      <x:c r="D320" s="22"/>
      <x:c r="E320" s="22"/>
      <x:c r="F320" s="22"/>
      <x:c r="G320" s="22"/>
      <x:c r="H320" s="22"/>
      <x:c r="I320" s="22"/>
      <x:c r="J320" s="22"/>
      <x:c r="K320" s="22"/>
      <x:c r="L320" s="22"/>
      <x:c r="M320" s="22"/>
      <x:c r="N320" s="23" t="str">
        <x:f>IF(SUM(L320:M320)=0,"",L320/SUM(L320:M320))</x:f>
      </x:c>
      <x:c r="O320" s="22" t="str">
        <x:f>IF(SUM(L320:M320)=0,"NEW",IF(N320&gt;=0.9,"A",IF(N320&gt;=0.75,"B",IF(N320&gt;=0.5,"C","D"))))</x:f>
        <x:v>NEW</x:v>
      </x:c>
      <x:c r="P320" s="22"/>
      <x:c r="Q320" s="24"/>
      <x:c r="R320" s="24"/>
      <x:c r="S320" s="22"/>
    </x:row>
    <x:row r="321">
      <x:c r="A321" s="22"/>
      <x:c r="B321" s="22"/>
      <x:c r="C321" s="22"/>
      <x:c r="D321" s="22"/>
      <x:c r="E321" s="22"/>
      <x:c r="F321" s="22"/>
      <x:c r="G321" s="22"/>
      <x:c r="H321" s="22"/>
      <x:c r="I321" s="22"/>
      <x:c r="J321" s="22"/>
      <x:c r="K321" s="22"/>
      <x:c r="L321" s="22"/>
      <x:c r="M321" s="22"/>
      <x:c r="N321" s="23" t="str">
        <x:f>IF(SUM(L321:M321)=0,"",L321/SUM(L321:M321))</x:f>
      </x:c>
      <x:c r="O321" s="22" t="str">
        <x:f>IF(SUM(L321:M321)=0,"NEW",IF(N321&gt;=0.9,"A",IF(N321&gt;=0.75,"B",IF(N321&gt;=0.5,"C","D"))))</x:f>
        <x:v>NEW</x:v>
      </x:c>
      <x:c r="P321" s="22"/>
      <x:c r="Q321" s="24"/>
      <x:c r="R321" s="24"/>
      <x:c r="S321" s="22"/>
    </x:row>
    <x:row r="322">
      <x:c r="A322" s="22"/>
      <x:c r="B322" s="22"/>
      <x:c r="C322" s="22"/>
      <x:c r="D322" s="22"/>
      <x:c r="E322" s="22"/>
      <x:c r="F322" s="22"/>
      <x:c r="G322" s="22"/>
      <x:c r="H322" s="22"/>
      <x:c r="I322" s="22"/>
      <x:c r="J322" s="22"/>
      <x:c r="K322" s="22"/>
      <x:c r="L322" s="22"/>
      <x:c r="M322" s="22"/>
      <x:c r="N322" s="23" t="str">
        <x:f>IF(SUM(L322:M322)=0,"",L322/SUM(L322:M322))</x:f>
      </x:c>
      <x:c r="O322" s="22" t="str">
        <x:f>IF(SUM(L322:M322)=0,"NEW",IF(N322&gt;=0.9,"A",IF(N322&gt;=0.75,"B",IF(N322&gt;=0.5,"C","D"))))</x:f>
        <x:v>NEW</x:v>
      </x:c>
      <x:c r="P322" s="22"/>
      <x:c r="Q322" s="24"/>
      <x:c r="R322" s="24"/>
      <x:c r="S322" s="22"/>
    </x:row>
    <x:row r="323">
      <x:c r="A323" s="22"/>
      <x:c r="B323" s="22"/>
      <x:c r="C323" s="22"/>
      <x:c r="D323" s="22"/>
      <x:c r="E323" s="22"/>
      <x:c r="F323" s="22"/>
      <x:c r="G323" s="22"/>
      <x:c r="H323" s="22"/>
      <x:c r="I323" s="22"/>
      <x:c r="J323" s="22"/>
      <x:c r="K323" s="22"/>
      <x:c r="L323" s="22"/>
      <x:c r="M323" s="22"/>
      <x:c r="N323" s="23" t="str">
        <x:f>IF(SUM(L323:M323)=0,"",L323/SUM(L323:M323))</x:f>
      </x:c>
      <x:c r="O323" s="22" t="str">
        <x:f>IF(SUM(L323:M323)=0,"NEW",IF(N323&gt;=0.9,"A",IF(N323&gt;=0.75,"B",IF(N323&gt;=0.5,"C","D"))))</x:f>
        <x:v>NEW</x:v>
      </x:c>
      <x:c r="P323" s="22"/>
      <x:c r="Q323" s="24"/>
      <x:c r="R323" s="24"/>
      <x:c r="S323" s="22"/>
    </x:row>
    <x:row r="324">
      <x:c r="A324" s="22"/>
      <x:c r="B324" s="22"/>
      <x:c r="C324" s="22"/>
      <x:c r="D324" s="22"/>
      <x:c r="E324" s="22"/>
      <x:c r="F324" s="22"/>
      <x:c r="G324" s="22"/>
      <x:c r="H324" s="22"/>
      <x:c r="I324" s="22"/>
      <x:c r="J324" s="22"/>
      <x:c r="K324" s="22"/>
      <x:c r="L324" s="22"/>
      <x:c r="M324" s="22"/>
      <x:c r="N324" s="23" t="str">
        <x:f>IF(SUM(L324:M324)=0,"",L324/SUM(L324:M324))</x:f>
      </x:c>
      <x:c r="O324" s="22" t="str">
        <x:f>IF(SUM(L324:M324)=0,"NEW",IF(N324&gt;=0.9,"A",IF(N324&gt;=0.75,"B",IF(N324&gt;=0.5,"C","D"))))</x:f>
        <x:v>NEW</x:v>
      </x:c>
      <x:c r="P324" s="22"/>
      <x:c r="Q324" s="24"/>
      <x:c r="R324" s="24"/>
      <x:c r="S324" s="22"/>
    </x:row>
    <x:row r="325">
      <x:c r="A325" s="22"/>
      <x:c r="B325" s="22"/>
      <x:c r="C325" s="22"/>
      <x:c r="D325" s="22"/>
      <x:c r="E325" s="22"/>
      <x:c r="F325" s="22"/>
      <x:c r="G325" s="22"/>
      <x:c r="H325" s="22"/>
      <x:c r="I325" s="22"/>
      <x:c r="J325" s="22"/>
      <x:c r="K325" s="22"/>
      <x:c r="L325" s="22"/>
      <x:c r="M325" s="22"/>
      <x:c r="N325" s="23" t="str">
        <x:f>IF(SUM(L325:M325)=0,"",L325/SUM(L325:M325))</x:f>
      </x:c>
      <x:c r="O325" s="22" t="str">
        <x:f>IF(SUM(L325:M325)=0,"NEW",IF(N325&gt;=0.9,"A",IF(N325&gt;=0.75,"B",IF(N325&gt;=0.5,"C","D"))))</x:f>
        <x:v>NEW</x:v>
      </x:c>
      <x:c r="P325" s="22"/>
      <x:c r="Q325" s="24"/>
      <x:c r="R325" s="24"/>
      <x:c r="S325" s="22"/>
    </x:row>
    <x:row r="326">
      <x:c r="A326" s="22"/>
      <x:c r="B326" s="22"/>
      <x:c r="C326" s="22"/>
      <x:c r="D326" s="22"/>
      <x:c r="E326" s="22"/>
      <x:c r="F326" s="22"/>
      <x:c r="G326" s="22"/>
      <x:c r="H326" s="22"/>
      <x:c r="I326" s="22"/>
      <x:c r="J326" s="22"/>
      <x:c r="K326" s="22"/>
      <x:c r="L326" s="22"/>
      <x:c r="M326" s="22"/>
      <x:c r="N326" s="23" t="str">
        <x:f>IF(SUM(L326:M326)=0,"",L326/SUM(L326:M326))</x:f>
      </x:c>
      <x:c r="O326" s="22" t="str">
        <x:f>IF(SUM(L326:M326)=0,"NEW",IF(N326&gt;=0.9,"A",IF(N326&gt;=0.75,"B",IF(N326&gt;=0.5,"C","D"))))</x:f>
        <x:v>NEW</x:v>
      </x:c>
      <x:c r="P326" s="22"/>
      <x:c r="Q326" s="24"/>
      <x:c r="R326" s="24"/>
      <x:c r="S326" s="22"/>
    </x:row>
    <x:row r="327">
      <x:c r="A327" s="22"/>
      <x:c r="B327" s="22"/>
      <x:c r="C327" s="22"/>
      <x:c r="D327" s="22"/>
      <x:c r="E327" s="22"/>
      <x:c r="F327" s="22"/>
      <x:c r="G327" s="22"/>
      <x:c r="H327" s="22"/>
      <x:c r="I327" s="22"/>
      <x:c r="J327" s="22"/>
      <x:c r="K327" s="22"/>
      <x:c r="L327" s="22"/>
      <x:c r="M327" s="22"/>
      <x:c r="N327" s="23" t="str">
        <x:f>IF(SUM(L327:M327)=0,"",L327/SUM(L327:M327))</x:f>
      </x:c>
      <x:c r="O327" s="22" t="str">
        <x:f>IF(SUM(L327:M327)=0,"NEW",IF(N327&gt;=0.9,"A",IF(N327&gt;=0.75,"B",IF(N327&gt;=0.5,"C","D"))))</x:f>
        <x:v>NEW</x:v>
      </x:c>
      <x:c r="P327" s="22"/>
      <x:c r="Q327" s="24"/>
      <x:c r="R327" s="24"/>
      <x:c r="S327" s="22"/>
    </x:row>
    <x:row r="328">
      <x:c r="A328" s="22"/>
      <x:c r="B328" s="22"/>
      <x:c r="C328" s="22"/>
      <x:c r="D328" s="22"/>
      <x:c r="E328" s="22"/>
      <x:c r="F328" s="22"/>
      <x:c r="G328" s="22"/>
      <x:c r="H328" s="22"/>
      <x:c r="I328" s="22"/>
      <x:c r="J328" s="22"/>
      <x:c r="K328" s="22"/>
      <x:c r="L328" s="22"/>
      <x:c r="M328" s="22"/>
      <x:c r="N328" s="23" t="str">
        <x:f>IF(SUM(L328:M328)=0,"",L328/SUM(L328:M328))</x:f>
      </x:c>
      <x:c r="O328" s="22" t="str">
        <x:f>IF(SUM(L328:M328)=0,"NEW",IF(N328&gt;=0.9,"A",IF(N328&gt;=0.75,"B",IF(N328&gt;=0.5,"C","D"))))</x:f>
        <x:v>NEW</x:v>
      </x:c>
      <x:c r="P328" s="22"/>
      <x:c r="Q328" s="24"/>
      <x:c r="R328" s="24"/>
      <x:c r="S328" s="22"/>
    </x:row>
    <x:row r="329">
      <x:c r="A329" s="22"/>
      <x:c r="B329" s="22"/>
      <x:c r="C329" s="22"/>
      <x:c r="D329" s="22"/>
      <x:c r="E329" s="22"/>
      <x:c r="F329" s="22"/>
      <x:c r="G329" s="22"/>
      <x:c r="H329" s="22"/>
      <x:c r="I329" s="22"/>
      <x:c r="J329" s="22"/>
      <x:c r="K329" s="22"/>
      <x:c r="L329" s="22"/>
      <x:c r="M329" s="22"/>
      <x:c r="N329" s="23" t="str">
        <x:f>IF(SUM(L329:M329)=0,"",L329/SUM(L329:M329))</x:f>
      </x:c>
      <x:c r="O329" s="22" t="str">
        <x:f>IF(SUM(L329:M329)=0,"NEW",IF(N329&gt;=0.9,"A",IF(N329&gt;=0.75,"B",IF(N329&gt;=0.5,"C","D"))))</x:f>
        <x:v>NEW</x:v>
      </x:c>
      <x:c r="P329" s="22"/>
      <x:c r="Q329" s="24"/>
      <x:c r="R329" s="24"/>
      <x:c r="S329" s="22"/>
    </x:row>
    <x:row r="330">
      <x:c r="A330" s="22"/>
      <x:c r="B330" s="22"/>
      <x:c r="C330" s="22"/>
      <x:c r="D330" s="22"/>
      <x:c r="E330" s="22"/>
      <x:c r="F330" s="22"/>
      <x:c r="G330" s="22"/>
      <x:c r="H330" s="22"/>
      <x:c r="I330" s="22"/>
      <x:c r="J330" s="22"/>
      <x:c r="K330" s="22"/>
      <x:c r="L330" s="22"/>
      <x:c r="M330" s="22"/>
      <x:c r="N330" s="23" t="str">
        <x:f>IF(SUM(L330:M330)=0,"",L330/SUM(L330:M330))</x:f>
      </x:c>
      <x:c r="O330" s="22" t="str">
        <x:f>IF(SUM(L330:M330)=0,"NEW",IF(N330&gt;=0.9,"A",IF(N330&gt;=0.75,"B",IF(N330&gt;=0.5,"C","D"))))</x:f>
        <x:v>NEW</x:v>
      </x:c>
      <x:c r="P330" s="22"/>
      <x:c r="Q330" s="24"/>
      <x:c r="R330" s="24"/>
      <x:c r="S330" s="22"/>
    </x:row>
    <x:row r="331">
      <x:c r="A331" s="22"/>
      <x:c r="B331" s="22"/>
      <x:c r="C331" s="22"/>
      <x:c r="D331" s="22"/>
      <x:c r="E331" s="22"/>
      <x:c r="F331" s="22"/>
      <x:c r="G331" s="22"/>
      <x:c r="H331" s="22"/>
      <x:c r="I331" s="22"/>
      <x:c r="J331" s="22"/>
      <x:c r="K331" s="22"/>
      <x:c r="L331" s="22"/>
      <x:c r="M331" s="22"/>
      <x:c r="N331" s="23" t="str">
        <x:f>IF(SUM(L331:M331)=0,"",L331/SUM(L331:M331))</x:f>
      </x:c>
      <x:c r="O331" s="22" t="str">
        <x:f>IF(SUM(L331:M331)=0,"NEW",IF(N331&gt;=0.9,"A",IF(N331&gt;=0.75,"B",IF(N331&gt;=0.5,"C","D"))))</x:f>
        <x:v>NEW</x:v>
      </x:c>
      <x:c r="P331" s="22"/>
      <x:c r="Q331" s="24"/>
      <x:c r="R331" s="24"/>
      <x:c r="S331" s="22"/>
    </x:row>
    <x:row r="332">
      <x:c r="A332" s="22"/>
      <x:c r="B332" s="22"/>
      <x:c r="C332" s="22"/>
      <x:c r="D332" s="22"/>
      <x:c r="E332" s="22"/>
      <x:c r="F332" s="22"/>
      <x:c r="G332" s="22"/>
      <x:c r="H332" s="22"/>
      <x:c r="I332" s="22"/>
      <x:c r="J332" s="22"/>
      <x:c r="K332" s="22"/>
      <x:c r="L332" s="22"/>
      <x:c r="M332" s="22"/>
      <x:c r="N332" s="23" t="str">
        <x:f>IF(SUM(L332:M332)=0,"",L332/SUM(L332:M332))</x:f>
      </x:c>
      <x:c r="O332" s="22" t="str">
        <x:f>IF(SUM(L332:M332)=0,"NEW",IF(N332&gt;=0.9,"A",IF(N332&gt;=0.75,"B",IF(N332&gt;=0.5,"C","D"))))</x:f>
        <x:v>NEW</x:v>
      </x:c>
      <x:c r="P332" s="22"/>
      <x:c r="Q332" s="24"/>
      <x:c r="R332" s="24"/>
      <x:c r="S332" s="22"/>
    </x:row>
    <x:row r="333">
      <x:c r="A333" s="22"/>
      <x:c r="B333" s="22"/>
      <x:c r="C333" s="22"/>
      <x:c r="D333" s="22"/>
      <x:c r="E333" s="22"/>
      <x:c r="F333" s="22"/>
      <x:c r="G333" s="22"/>
      <x:c r="H333" s="22"/>
      <x:c r="I333" s="22"/>
      <x:c r="J333" s="22"/>
      <x:c r="K333" s="22"/>
      <x:c r="L333" s="22"/>
      <x:c r="M333" s="22"/>
      <x:c r="N333" s="23" t="str">
        <x:f>IF(SUM(L333:M333)=0,"",L333/SUM(L333:M333))</x:f>
      </x:c>
      <x:c r="O333" s="22" t="str">
        <x:f>IF(SUM(L333:M333)=0,"NEW",IF(N333&gt;=0.9,"A",IF(N333&gt;=0.75,"B",IF(N333&gt;=0.5,"C","D"))))</x:f>
        <x:v>NEW</x:v>
      </x:c>
      <x:c r="P333" s="22"/>
      <x:c r="Q333" s="24"/>
      <x:c r="R333" s="24"/>
      <x:c r="S333" s="22"/>
    </x:row>
    <x:row r="334">
      <x:c r="A334" s="22"/>
      <x:c r="B334" s="22"/>
      <x:c r="C334" s="22"/>
      <x:c r="D334" s="22"/>
      <x:c r="E334" s="22"/>
      <x:c r="F334" s="22"/>
      <x:c r="G334" s="22"/>
      <x:c r="H334" s="22"/>
      <x:c r="I334" s="22"/>
      <x:c r="J334" s="22"/>
      <x:c r="K334" s="22"/>
      <x:c r="L334" s="22"/>
      <x:c r="M334" s="22"/>
      <x:c r="N334" s="23" t="str">
        <x:f>IF(SUM(L334:M334)=0,"",L334/SUM(L334:M334))</x:f>
      </x:c>
      <x:c r="O334" s="22" t="str">
        <x:f>IF(SUM(L334:M334)=0,"NEW",IF(N334&gt;=0.9,"A",IF(N334&gt;=0.75,"B",IF(N334&gt;=0.5,"C","D"))))</x:f>
        <x:v>NEW</x:v>
      </x:c>
      <x:c r="P334" s="22"/>
      <x:c r="Q334" s="24"/>
      <x:c r="R334" s="24"/>
      <x:c r="S334" s="22"/>
    </x:row>
    <x:row r="335">
      <x:c r="A335" s="22"/>
      <x:c r="B335" s="22"/>
      <x:c r="C335" s="22"/>
      <x:c r="D335" s="22"/>
      <x:c r="E335" s="22"/>
      <x:c r="F335" s="22"/>
      <x:c r="G335" s="22"/>
      <x:c r="H335" s="22"/>
      <x:c r="I335" s="22"/>
      <x:c r="J335" s="22"/>
      <x:c r="K335" s="22"/>
      <x:c r="L335" s="22"/>
      <x:c r="M335" s="22"/>
      <x:c r="N335" s="23" t="str">
        <x:f>IF(SUM(L335:M335)=0,"",L335/SUM(L335:M335))</x:f>
      </x:c>
      <x:c r="O335" s="22" t="str">
        <x:f>IF(SUM(L335:M335)=0,"NEW",IF(N335&gt;=0.9,"A",IF(N335&gt;=0.75,"B",IF(N335&gt;=0.5,"C","D"))))</x:f>
        <x:v>NEW</x:v>
      </x:c>
      <x:c r="P335" s="22"/>
      <x:c r="Q335" s="24"/>
      <x:c r="R335" s="24"/>
      <x:c r="S335" s="22"/>
    </x:row>
    <x:row r="336">
      <x:c r="A336" s="22"/>
      <x:c r="B336" s="22"/>
      <x:c r="C336" s="22"/>
      <x:c r="D336" s="22"/>
      <x:c r="E336" s="22"/>
      <x:c r="F336" s="22"/>
      <x:c r="G336" s="22"/>
      <x:c r="H336" s="22"/>
      <x:c r="I336" s="22"/>
      <x:c r="J336" s="22"/>
      <x:c r="K336" s="22"/>
      <x:c r="L336" s="22"/>
      <x:c r="M336" s="22"/>
      <x:c r="N336" s="23" t="str">
        <x:f>IF(SUM(L336:M336)=0,"",L336/SUM(L336:M336))</x:f>
      </x:c>
      <x:c r="O336" s="22" t="str">
        <x:f>IF(SUM(L336:M336)=0,"NEW",IF(N336&gt;=0.9,"A",IF(N336&gt;=0.75,"B",IF(N336&gt;=0.5,"C","D"))))</x:f>
        <x:v>NEW</x:v>
      </x:c>
      <x:c r="P336" s="22"/>
      <x:c r="Q336" s="24"/>
      <x:c r="R336" s="24"/>
      <x:c r="S336" s="22"/>
    </x:row>
    <x:row r="337">
      <x:c r="A337" s="22"/>
      <x:c r="B337" s="22"/>
      <x:c r="C337" s="22"/>
      <x:c r="D337" s="22"/>
      <x:c r="E337" s="22"/>
      <x:c r="F337" s="22"/>
      <x:c r="G337" s="22"/>
      <x:c r="H337" s="22"/>
      <x:c r="I337" s="22"/>
      <x:c r="J337" s="22"/>
      <x:c r="K337" s="22"/>
      <x:c r="L337" s="22"/>
      <x:c r="M337" s="22"/>
      <x:c r="N337" s="23" t="str">
        <x:f>IF(SUM(L337:M337)=0,"",L337/SUM(L337:M337))</x:f>
      </x:c>
      <x:c r="O337" s="22" t="str">
        <x:f>IF(SUM(L337:M337)=0,"NEW",IF(N337&gt;=0.9,"A",IF(N337&gt;=0.75,"B",IF(N337&gt;=0.5,"C","D"))))</x:f>
        <x:v>NEW</x:v>
      </x:c>
      <x:c r="P337" s="22"/>
      <x:c r="Q337" s="24"/>
      <x:c r="R337" s="24"/>
      <x:c r="S337" s="22"/>
    </x:row>
    <x:row r="338">
      <x:c r="A338" s="22"/>
      <x:c r="B338" s="22"/>
      <x:c r="C338" s="22"/>
      <x:c r="D338" s="22"/>
      <x:c r="E338" s="22"/>
      <x:c r="F338" s="22"/>
      <x:c r="G338" s="22"/>
      <x:c r="H338" s="22"/>
      <x:c r="I338" s="22"/>
      <x:c r="J338" s="22"/>
      <x:c r="K338" s="22"/>
      <x:c r="L338" s="22"/>
      <x:c r="M338" s="22"/>
      <x:c r="N338" s="23" t="str">
        <x:f>IF(SUM(L338:M338)=0,"",L338/SUM(L338:M338))</x:f>
      </x:c>
      <x:c r="O338" s="22" t="str">
        <x:f>IF(SUM(L338:M338)=0,"NEW",IF(N338&gt;=0.9,"A",IF(N338&gt;=0.75,"B",IF(N338&gt;=0.5,"C","D"))))</x:f>
        <x:v>NEW</x:v>
      </x:c>
      <x:c r="P338" s="22"/>
      <x:c r="Q338" s="24"/>
      <x:c r="R338" s="24"/>
      <x:c r="S338" s="22"/>
    </x:row>
    <x:row r="339">
      <x:c r="A339" s="22"/>
      <x:c r="B339" s="22"/>
      <x:c r="C339" s="22"/>
      <x:c r="D339" s="22"/>
      <x:c r="E339" s="22"/>
      <x:c r="F339" s="22"/>
      <x:c r="G339" s="22"/>
      <x:c r="H339" s="22"/>
      <x:c r="I339" s="22"/>
      <x:c r="J339" s="22"/>
      <x:c r="K339" s="22"/>
      <x:c r="L339" s="22"/>
      <x:c r="M339" s="22"/>
      <x:c r="N339" s="23" t="str">
        <x:f>IF(SUM(L339:M339)=0,"",L339/SUM(L339:M339))</x:f>
      </x:c>
      <x:c r="O339" s="22" t="str">
        <x:f>IF(SUM(L339:M339)=0,"NEW",IF(N339&gt;=0.9,"A",IF(N339&gt;=0.75,"B",IF(N339&gt;=0.5,"C","D"))))</x:f>
        <x:v>NEW</x:v>
      </x:c>
      <x:c r="P339" s="22"/>
      <x:c r="Q339" s="24"/>
      <x:c r="R339" s="24"/>
      <x:c r="S339" s="22"/>
    </x:row>
    <x:row r="340">
      <x:c r="A340" s="22"/>
      <x:c r="B340" s="22"/>
      <x:c r="C340" s="22"/>
      <x:c r="D340" s="22"/>
      <x:c r="E340" s="22"/>
      <x:c r="F340" s="22"/>
      <x:c r="G340" s="22"/>
      <x:c r="H340" s="22"/>
      <x:c r="I340" s="22"/>
      <x:c r="J340" s="22"/>
      <x:c r="K340" s="22"/>
      <x:c r="L340" s="22"/>
      <x:c r="M340" s="22"/>
      <x:c r="N340" s="23" t="str">
        <x:f>IF(SUM(L340:M340)=0,"",L340/SUM(L340:M340))</x:f>
      </x:c>
      <x:c r="O340" s="22" t="str">
        <x:f>IF(SUM(L340:M340)=0,"NEW",IF(N340&gt;=0.9,"A",IF(N340&gt;=0.75,"B",IF(N340&gt;=0.5,"C","D"))))</x:f>
        <x:v>NEW</x:v>
      </x:c>
      <x:c r="P340" s="22"/>
      <x:c r="Q340" s="24"/>
      <x:c r="R340" s="24"/>
      <x:c r="S340" s="22"/>
    </x:row>
    <x:row r="341">
      <x:c r="A341" s="22"/>
      <x:c r="B341" s="22"/>
      <x:c r="C341" s="22"/>
      <x:c r="D341" s="22"/>
      <x:c r="E341" s="22"/>
      <x:c r="F341" s="22"/>
      <x:c r="G341" s="22"/>
      <x:c r="H341" s="22"/>
      <x:c r="I341" s="22"/>
      <x:c r="J341" s="22"/>
      <x:c r="K341" s="22"/>
      <x:c r="L341" s="22"/>
      <x:c r="M341" s="22"/>
      <x:c r="N341" s="23" t="str">
        <x:f>IF(SUM(L341:M341)=0,"",L341/SUM(L341:M341))</x:f>
      </x:c>
      <x:c r="O341" s="22" t="str">
        <x:f>IF(SUM(L341:M341)=0,"NEW",IF(N341&gt;=0.9,"A",IF(N341&gt;=0.75,"B",IF(N341&gt;=0.5,"C","D"))))</x:f>
        <x:v>NEW</x:v>
      </x:c>
      <x:c r="P341" s="22"/>
      <x:c r="Q341" s="24"/>
      <x:c r="R341" s="24"/>
      <x:c r="S341" s="22"/>
    </x:row>
    <x:row r="342">
      <x:c r="A342" s="22"/>
      <x:c r="B342" s="22"/>
      <x:c r="C342" s="22"/>
      <x:c r="D342" s="22"/>
      <x:c r="E342" s="22"/>
      <x:c r="F342" s="22"/>
      <x:c r="G342" s="22"/>
      <x:c r="H342" s="22"/>
      <x:c r="I342" s="22"/>
      <x:c r="J342" s="22"/>
      <x:c r="K342" s="22"/>
      <x:c r="L342" s="22"/>
      <x:c r="M342" s="22"/>
      <x:c r="N342" s="23" t="str">
        <x:f>IF(SUM(L342:M342)=0,"",L342/SUM(L342:M342))</x:f>
      </x:c>
      <x:c r="O342" s="22" t="str">
        <x:f>IF(SUM(L342:M342)=0,"NEW",IF(N342&gt;=0.9,"A",IF(N342&gt;=0.75,"B",IF(N342&gt;=0.5,"C","D"))))</x:f>
        <x:v>NEW</x:v>
      </x:c>
      <x:c r="P342" s="22"/>
      <x:c r="Q342" s="24"/>
      <x:c r="R342" s="24"/>
      <x:c r="S342" s="22"/>
    </x:row>
    <x:row r="343">
      <x:c r="A343" s="22"/>
      <x:c r="B343" s="22"/>
      <x:c r="C343" s="22"/>
      <x:c r="D343" s="22"/>
      <x:c r="E343" s="22"/>
      <x:c r="F343" s="22"/>
      <x:c r="G343" s="22"/>
      <x:c r="H343" s="22"/>
      <x:c r="I343" s="22"/>
      <x:c r="J343" s="22"/>
      <x:c r="K343" s="22"/>
      <x:c r="L343" s="22"/>
      <x:c r="M343" s="22"/>
      <x:c r="N343" s="23" t="str">
        <x:f>IF(SUM(L343:M343)=0,"",L343/SUM(L343:M343))</x:f>
      </x:c>
      <x:c r="O343" s="22" t="str">
        <x:f>IF(SUM(L343:M343)=0,"NEW",IF(N343&gt;=0.9,"A",IF(N343&gt;=0.75,"B",IF(N343&gt;=0.5,"C","D"))))</x:f>
        <x:v>NEW</x:v>
      </x:c>
      <x:c r="P343" s="22"/>
      <x:c r="Q343" s="24"/>
      <x:c r="R343" s="24"/>
      <x:c r="S343" s="22"/>
    </x:row>
    <x:row r="344">
      <x:c r="A344" s="22"/>
      <x:c r="B344" s="22"/>
      <x:c r="C344" s="22"/>
      <x:c r="D344" s="22"/>
      <x:c r="E344" s="22"/>
      <x:c r="F344" s="22"/>
      <x:c r="G344" s="22"/>
      <x:c r="H344" s="22"/>
      <x:c r="I344" s="22"/>
      <x:c r="J344" s="22"/>
      <x:c r="K344" s="22"/>
      <x:c r="L344" s="22"/>
      <x:c r="M344" s="22"/>
      <x:c r="N344" s="23" t="str">
        <x:f>IF(SUM(L344:M344)=0,"",L344/SUM(L344:M344))</x:f>
      </x:c>
      <x:c r="O344" s="22" t="str">
        <x:f>IF(SUM(L344:M344)=0,"NEW",IF(N344&gt;=0.9,"A",IF(N344&gt;=0.75,"B",IF(N344&gt;=0.5,"C","D"))))</x:f>
        <x:v>NEW</x:v>
      </x:c>
      <x:c r="P344" s="22"/>
      <x:c r="Q344" s="24"/>
      <x:c r="R344" s="24"/>
      <x:c r="S344" s="22"/>
    </x:row>
    <x:row r="345">
      <x:c r="A345" s="22"/>
      <x:c r="B345" s="22"/>
      <x:c r="C345" s="22"/>
      <x:c r="D345" s="22"/>
      <x:c r="E345" s="22"/>
      <x:c r="F345" s="22"/>
      <x:c r="G345" s="22"/>
      <x:c r="H345" s="22"/>
      <x:c r="I345" s="22"/>
      <x:c r="J345" s="22"/>
      <x:c r="K345" s="22"/>
      <x:c r="L345" s="22"/>
      <x:c r="M345" s="22"/>
      <x:c r="N345" s="23" t="str">
        <x:f>IF(SUM(L345:M345)=0,"",L345/SUM(L345:M345))</x:f>
      </x:c>
      <x:c r="O345" s="22" t="str">
        <x:f>IF(SUM(L345:M345)=0,"NEW",IF(N345&gt;=0.9,"A",IF(N345&gt;=0.75,"B",IF(N345&gt;=0.5,"C","D"))))</x:f>
        <x:v>NEW</x:v>
      </x:c>
      <x:c r="P345" s="22"/>
      <x:c r="Q345" s="24"/>
      <x:c r="R345" s="24"/>
      <x:c r="S345" s="22"/>
    </x:row>
    <x:row r="346">
      <x:c r="A346" s="22"/>
      <x:c r="B346" s="22"/>
      <x:c r="C346" s="22"/>
      <x:c r="D346" s="22"/>
      <x:c r="E346" s="22"/>
      <x:c r="F346" s="22"/>
      <x:c r="G346" s="22"/>
      <x:c r="H346" s="22"/>
      <x:c r="I346" s="22"/>
      <x:c r="J346" s="22"/>
      <x:c r="K346" s="22"/>
      <x:c r="L346" s="22"/>
      <x:c r="M346" s="22"/>
      <x:c r="N346" s="23" t="str">
        <x:f>IF(SUM(L346:M346)=0,"",L346/SUM(L346:M346))</x:f>
      </x:c>
      <x:c r="O346" s="22" t="str">
        <x:f>IF(SUM(L346:M346)=0,"NEW",IF(N346&gt;=0.9,"A",IF(N346&gt;=0.75,"B",IF(N346&gt;=0.5,"C","D"))))</x:f>
        <x:v>NEW</x:v>
      </x:c>
      <x:c r="P346" s="22"/>
      <x:c r="Q346" s="24"/>
      <x:c r="R346" s="24"/>
      <x:c r="S346" s="22"/>
    </x:row>
    <x:row r="347">
      <x:c r="A347" s="22"/>
      <x:c r="B347" s="22"/>
      <x:c r="C347" s="22"/>
      <x:c r="D347" s="22"/>
      <x:c r="E347" s="22"/>
      <x:c r="F347" s="22"/>
      <x:c r="G347" s="22"/>
      <x:c r="H347" s="22"/>
      <x:c r="I347" s="22"/>
      <x:c r="J347" s="22"/>
      <x:c r="K347" s="22"/>
      <x:c r="L347" s="22"/>
      <x:c r="M347" s="22"/>
      <x:c r="N347" s="23" t="str">
        <x:f>IF(SUM(L347:M347)=0,"",L347/SUM(L347:M347))</x:f>
      </x:c>
      <x:c r="O347" s="22" t="str">
        <x:f>IF(SUM(L347:M347)=0,"NEW",IF(N347&gt;=0.9,"A",IF(N347&gt;=0.75,"B",IF(N347&gt;=0.5,"C","D"))))</x:f>
        <x:v>NEW</x:v>
      </x:c>
      <x:c r="P347" s="22"/>
      <x:c r="Q347" s="24"/>
      <x:c r="R347" s="24"/>
      <x:c r="S347" s="22"/>
    </x:row>
    <x:row r="348">
      <x:c r="A348" s="22"/>
      <x:c r="B348" s="22"/>
      <x:c r="C348" s="22"/>
      <x:c r="D348" s="22"/>
      <x:c r="E348" s="22"/>
      <x:c r="F348" s="22"/>
      <x:c r="G348" s="22"/>
      <x:c r="H348" s="22"/>
      <x:c r="I348" s="22"/>
      <x:c r="J348" s="22"/>
      <x:c r="K348" s="22"/>
      <x:c r="L348" s="22"/>
      <x:c r="M348" s="22"/>
      <x:c r="N348" s="23" t="str">
        <x:f>IF(SUM(L348:M348)=0,"",L348/SUM(L348:M348))</x:f>
      </x:c>
      <x:c r="O348" s="22" t="str">
        <x:f>IF(SUM(L348:M348)=0,"NEW",IF(N348&gt;=0.9,"A",IF(N348&gt;=0.75,"B",IF(N348&gt;=0.5,"C","D"))))</x:f>
        <x:v>NEW</x:v>
      </x:c>
      <x:c r="P348" s="22"/>
      <x:c r="Q348" s="24"/>
      <x:c r="R348" s="24"/>
      <x:c r="S348" s="22"/>
    </x:row>
    <x:row r="349">
      <x:c r="A349" s="22"/>
      <x:c r="B349" s="22"/>
      <x:c r="C349" s="22"/>
      <x:c r="D349" s="22"/>
      <x:c r="E349" s="22"/>
      <x:c r="F349" s="22"/>
      <x:c r="G349" s="22"/>
      <x:c r="H349" s="22"/>
      <x:c r="I349" s="22"/>
      <x:c r="J349" s="22"/>
      <x:c r="K349" s="22"/>
      <x:c r="L349" s="22"/>
      <x:c r="M349" s="22"/>
      <x:c r="N349" s="23" t="str">
        <x:f>IF(SUM(L349:M349)=0,"",L349/SUM(L349:M349))</x:f>
      </x:c>
      <x:c r="O349" s="22" t="str">
        <x:f>IF(SUM(L349:M349)=0,"NEW",IF(N349&gt;=0.9,"A",IF(N349&gt;=0.75,"B",IF(N349&gt;=0.5,"C","D"))))</x:f>
        <x:v>NEW</x:v>
      </x:c>
      <x:c r="P349" s="22"/>
      <x:c r="Q349" s="24"/>
      <x:c r="R349" s="24"/>
      <x:c r="S349" s="22"/>
    </x:row>
    <x:row r="350">
      <x:c r="A350" s="22"/>
      <x:c r="B350" s="22"/>
      <x:c r="C350" s="22"/>
      <x:c r="D350" s="22"/>
      <x:c r="E350" s="22"/>
      <x:c r="F350" s="22"/>
      <x:c r="G350" s="22"/>
      <x:c r="H350" s="22"/>
      <x:c r="I350" s="22"/>
      <x:c r="J350" s="22"/>
      <x:c r="K350" s="22"/>
      <x:c r="L350" s="22"/>
      <x:c r="M350" s="22"/>
      <x:c r="N350" s="23" t="str">
        <x:f>IF(SUM(L350:M350)=0,"",L350/SUM(L350:M350))</x:f>
      </x:c>
      <x:c r="O350" s="22" t="str">
        <x:f>IF(SUM(L350:M350)=0,"NEW",IF(N350&gt;=0.9,"A",IF(N350&gt;=0.75,"B",IF(N350&gt;=0.5,"C","D"))))</x:f>
        <x:v>NEW</x:v>
      </x:c>
      <x:c r="P350" s="22"/>
      <x:c r="Q350" s="24"/>
      <x:c r="R350" s="24"/>
      <x:c r="S350" s="22"/>
    </x:row>
    <x:row r="351">
      <x:c r="A351" s="22"/>
      <x:c r="B351" s="22"/>
      <x:c r="C351" s="22"/>
      <x:c r="D351" s="22"/>
      <x:c r="E351" s="22"/>
      <x:c r="F351" s="22"/>
      <x:c r="G351" s="22"/>
      <x:c r="H351" s="22"/>
      <x:c r="I351" s="22"/>
      <x:c r="J351" s="22"/>
      <x:c r="K351" s="22"/>
      <x:c r="L351" s="22"/>
      <x:c r="M351" s="22"/>
      <x:c r="N351" s="23" t="str">
        <x:f>IF(SUM(L351:M351)=0,"",L351/SUM(L351:M351))</x:f>
      </x:c>
      <x:c r="O351" s="22" t="str">
        <x:f>IF(SUM(L351:M351)=0,"NEW",IF(N351&gt;=0.9,"A",IF(N351&gt;=0.75,"B",IF(N351&gt;=0.5,"C","D"))))</x:f>
        <x:v>NEW</x:v>
      </x:c>
      <x:c r="P351" s="22"/>
      <x:c r="Q351" s="24"/>
      <x:c r="R351" s="24"/>
      <x:c r="S351" s="22"/>
    </x:row>
    <x:row r="352">
      <x:c r="A352" s="22"/>
      <x:c r="B352" s="22"/>
      <x:c r="C352" s="22"/>
      <x:c r="D352" s="22"/>
      <x:c r="E352" s="22"/>
      <x:c r="F352" s="22"/>
      <x:c r="G352" s="22"/>
      <x:c r="H352" s="22"/>
      <x:c r="I352" s="22"/>
      <x:c r="J352" s="22"/>
      <x:c r="K352" s="22"/>
      <x:c r="L352" s="22"/>
      <x:c r="M352" s="22"/>
      <x:c r="N352" s="23" t="str">
        <x:f>IF(SUM(L352:M352)=0,"",L352/SUM(L352:M352))</x:f>
      </x:c>
      <x:c r="O352" s="22" t="str">
        <x:f>IF(SUM(L352:M352)=0,"NEW",IF(N352&gt;=0.9,"A",IF(N352&gt;=0.75,"B",IF(N352&gt;=0.5,"C","D"))))</x:f>
        <x:v>NEW</x:v>
      </x:c>
      <x:c r="P352" s="22"/>
      <x:c r="Q352" s="24"/>
      <x:c r="R352" s="24"/>
      <x:c r="S352" s="22"/>
    </x:row>
    <x:row r="353">
      <x:c r="A353" s="22"/>
      <x:c r="B353" s="22"/>
      <x:c r="C353" s="22"/>
      <x:c r="D353" s="22"/>
      <x:c r="E353" s="22"/>
      <x:c r="F353" s="22"/>
      <x:c r="G353" s="22"/>
      <x:c r="H353" s="22"/>
      <x:c r="I353" s="22"/>
      <x:c r="J353" s="22"/>
      <x:c r="K353" s="22"/>
      <x:c r="L353" s="22"/>
      <x:c r="M353" s="22"/>
      <x:c r="N353" s="23" t="str">
        <x:f>IF(SUM(L353:M353)=0,"",L353/SUM(L353:M353))</x:f>
      </x:c>
      <x:c r="O353" s="22" t="str">
        <x:f>IF(SUM(L353:M353)=0,"NEW",IF(N353&gt;=0.9,"A",IF(N353&gt;=0.75,"B",IF(N353&gt;=0.5,"C","D"))))</x:f>
        <x:v>NEW</x:v>
      </x:c>
      <x:c r="P353" s="22"/>
      <x:c r="Q353" s="24"/>
      <x:c r="R353" s="24"/>
      <x:c r="S353" s="22"/>
    </x:row>
    <x:row r="354">
      <x:c r="A354" s="22"/>
      <x:c r="B354" s="22"/>
      <x:c r="C354" s="22"/>
      <x:c r="D354" s="22"/>
      <x:c r="E354" s="22"/>
      <x:c r="F354" s="22"/>
      <x:c r="G354" s="22"/>
      <x:c r="H354" s="22"/>
      <x:c r="I354" s="22"/>
      <x:c r="J354" s="22"/>
      <x:c r="K354" s="22"/>
      <x:c r="L354" s="22"/>
      <x:c r="M354" s="22"/>
      <x:c r="N354" s="23" t="str">
        <x:f>IF(SUM(L354:M354)=0,"",L354/SUM(L354:M354))</x:f>
      </x:c>
      <x:c r="O354" s="22" t="str">
        <x:f>IF(SUM(L354:M354)=0,"NEW",IF(N354&gt;=0.9,"A",IF(N354&gt;=0.75,"B",IF(N354&gt;=0.5,"C","D"))))</x:f>
        <x:v>NEW</x:v>
      </x:c>
      <x:c r="P354" s="22"/>
      <x:c r="Q354" s="24"/>
      <x:c r="R354" s="24"/>
      <x:c r="S354" s="22"/>
    </x:row>
    <x:row r="355">
      <x:c r="A355" s="22"/>
      <x:c r="B355" s="22"/>
      <x:c r="C355" s="22"/>
      <x:c r="D355" s="22"/>
      <x:c r="E355" s="22"/>
      <x:c r="F355" s="22"/>
      <x:c r="G355" s="22"/>
      <x:c r="H355" s="22"/>
      <x:c r="I355" s="22"/>
      <x:c r="J355" s="22"/>
      <x:c r="K355" s="22"/>
      <x:c r="L355" s="22"/>
      <x:c r="M355" s="22"/>
      <x:c r="N355" s="23" t="str">
        <x:f>IF(SUM(L355:M355)=0,"",L355/SUM(L355:M355))</x:f>
      </x:c>
      <x:c r="O355" s="22" t="str">
        <x:f>IF(SUM(L355:M355)=0,"NEW",IF(N355&gt;=0.9,"A",IF(N355&gt;=0.75,"B",IF(N355&gt;=0.5,"C","D"))))</x:f>
        <x:v>NEW</x:v>
      </x:c>
      <x:c r="P355" s="22"/>
      <x:c r="Q355" s="24"/>
      <x:c r="R355" s="24"/>
      <x:c r="S355" s="22"/>
    </x:row>
    <x:row r="356">
      <x:c r="A356" s="22"/>
      <x:c r="B356" s="22"/>
      <x:c r="C356" s="22"/>
      <x:c r="D356" s="22"/>
      <x:c r="E356" s="22"/>
      <x:c r="F356" s="22"/>
      <x:c r="G356" s="22"/>
      <x:c r="H356" s="22"/>
      <x:c r="I356" s="22"/>
      <x:c r="J356" s="22"/>
      <x:c r="K356" s="22"/>
      <x:c r="L356" s="22"/>
      <x:c r="M356" s="22"/>
      <x:c r="N356" s="23" t="str">
        <x:f>IF(SUM(L356:M356)=0,"",L356/SUM(L356:M356))</x:f>
      </x:c>
      <x:c r="O356" s="22" t="str">
        <x:f>IF(SUM(L356:M356)=0,"NEW",IF(N356&gt;=0.9,"A",IF(N356&gt;=0.75,"B",IF(N356&gt;=0.5,"C","D"))))</x:f>
        <x:v>NEW</x:v>
      </x:c>
      <x:c r="P356" s="22"/>
      <x:c r="Q356" s="24"/>
      <x:c r="R356" s="24"/>
      <x:c r="S356" s="22"/>
    </x:row>
    <x:row r="357">
      <x:c r="A357" s="22"/>
      <x:c r="B357" s="22"/>
      <x:c r="C357" s="22"/>
      <x:c r="D357" s="22"/>
      <x:c r="E357" s="22"/>
      <x:c r="F357" s="22"/>
      <x:c r="G357" s="22"/>
      <x:c r="H357" s="22"/>
      <x:c r="I357" s="22"/>
      <x:c r="J357" s="22"/>
      <x:c r="K357" s="22"/>
      <x:c r="L357" s="22"/>
      <x:c r="M357" s="22"/>
      <x:c r="N357" s="23" t="str">
        <x:f>IF(SUM(L357:M357)=0,"",L357/SUM(L357:M357))</x:f>
      </x:c>
      <x:c r="O357" s="22" t="str">
        <x:f>IF(SUM(L357:M357)=0,"NEW",IF(N357&gt;=0.9,"A",IF(N357&gt;=0.75,"B",IF(N357&gt;=0.5,"C","D"))))</x:f>
        <x:v>NEW</x:v>
      </x:c>
      <x:c r="P357" s="22"/>
      <x:c r="Q357" s="24"/>
      <x:c r="R357" s="24"/>
      <x:c r="S357" s="22"/>
    </x:row>
    <x:row r="358">
      <x:c r="A358" s="22"/>
      <x:c r="B358" s="22"/>
      <x:c r="C358" s="22"/>
      <x:c r="D358" s="22"/>
      <x:c r="E358" s="22"/>
      <x:c r="F358" s="22"/>
      <x:c r="G358" s="22"/>
      <x:c r="H358" s="22"/>
      <x:c r="I358" s="22"/>
      <x:c r="J358" s="22"/>
      <x:c r="K358" s="22"/>
      <x:c r="L358" s="22"/>
      <x:c r="M358" s="22"/>
      <x:c r="N358" s="23" t="str">
        <x:f>IF(SUM(L358:M358)=0,"",L358/SUM(L358:M358))</x:f>
      </x:c>
      <x:c r="O358" s="22" t="str">
        <x:f>IF(SUM(L358:M358)=0,"NEW",IF(N358&gt;=0.9,"A",IF(N358&gt;=0.75,"B",IF(N358&gt;=0.5,"C","D"))))</x:f>
        <x:v>NEW</x:v>
      </x:c>
      <x:c r="P358" s="22"/>
      <x:c r="Q358" s="24"/>
      <x:c r="R358" s="24"/>
      <x:c r="S358" s="22"/>
    </x:row>
    <x:row r="359">
      <x:c r="A359" s="22"/>
      <x:c r="B359" s="22"/>
      <x:c r="C359" s="22"/>
      <x:c r="D359" s="22"/>
      <x:c r="E359" s="22"/>
      <x:c r="F359" s="22"/>
      <x:c r="G359" s="22"/>
      <x:c r="H359" s="22"/>
      <x:c r="I359" s="22"/>
      <x:c r="J359" s="22"/>
      <x:c r="K359" s="22"/>
      <x:c r="L359" s="22"/>
      <x:c r="M359" s="22"/>
      <x:c r="N359" s="23" t="str">
        <x:f>IF(SUM(L359:M359)=0,"",L359/SUM(L359:M359))</x:f>
      </x:c>
      <x:c r="O359" s="22" t="str">
        <x:f>IF(SUM(L359:M359)=0,"NEW",IF(N359&gt;=0.9,"A",IF(N359&gt;=0.75,"B",IF(N359&gt;=0.5,"C","D"))))</x:f>
        <x:v>NEW</x:v>
      </x:c>
      <x:c r="P359" s="22"/>
      <x:c r="Q359" s="24"/>
      <x:c r="R359" s="24"/>
      <x:c r="S359" s="22"/>
    </x:row>
    <x:row r="360">
      <x:c r="A360" s="22"/>
      <x:c r="B360" s="22"/>
      <x:c r="C360" s="22"/>
      <x:c r="D360" s="22"/>
      <x:c r="E360" s="22"/>
      <x:c r="F360" s="22"/>
      <x:c r="G360" s="22"/>
      <x:c r="H360" s="22"/>
      <x:c r="I360" s="22"/>
      <x:c r="J360" s="22"/>
      <x:c r="K360" s="22"/>
      <x:c r="L360" s="22"/>
      <x:c r="M360" s="22"/>
      <x:c r="N360" s="23" t="str">
        <x:f>IF(SUM(L360:M360)=0,"",L360/SUM(L360:M360))</x:f>
      </x:c>
      <x:c r="O360" s="22" t="str">
        <x:f>IF(SUM(L360:M360)=0,"NEW",IF(N360&gt;=0.9,"A",IF(N360&gt;=0.75,"B",IF(N360&gt;=0.5,"C","D"))))</x:f>
        <x:v>NEW</x:v>
      </x:c>
      <x:c r="P360" s="22"/>
      <x:c r="Q360" s="24"/>
      <x:c r="R360" s="24"/>
      <x:c r="S360" s="22"/>
    </x:row>
    <x:row r="361">
      <x:c r="A361" s="22"/>
      <x:c r="B361" s="22"/>
      <x:c r="C361" s="22"/>
      <x:c r="D361" s="22"/>
      <x:c r="E361" s="22"/>
      <x:c r="F361" s="22"/>
      <x:c r="G361" s="22"/>
      <x:c r="H361" s="22"/>
      <x:c r="I361" s="22"/>
      <x:c r="J361" s="22"/>
      <x:c r="K361" s="22"/>
      <x:c r="L361" s="22"/>
      <x:c r="M361" s="22"/>
      <x:c r="N361" s="23" t="str">
        <x:f>IF(SUM(L361:M361)=0,"",L361/SUM(L361:M361))</x:f>
      </x:c>
      <x:c r="O361" s="22" t="str">
        <x:f>IF(SUM(L361:M361)=0,"NEW",IF(N361&gt;=0.9,"A",IF(N361&gt;=0.75,"B",IF(N361&gt;=0.5,"C","D"))))</x:f>
        <x:v>NEW</x:v>
      </x:c>
      <x:c r="P361" s="22"/>
      <x:c r="Q361" s="24"/>
      <x:c r="R361" s="24"/>
      <x:c r="S361" s="22"/>
    </x:row>
    <x:row r="362">
      <x:c r="A362" s="22"/>
      <x:c r="B362" s="22"/>
      <x:c r="C362" s="22"/>
      <x:c r="D362" s="22"/>
      <x:c r="E362" s="22"/>
      <x:c r="F362" s="22"/>
      <x:c r="G362" s="22"/>
      <x:c r="H362" s="22"/>
      <x:c r="I362" s="22"/>
      <x:c r="J362" s="22"/>
      <x:c r="K362" s="22"/>
      <x:c r="L362" s="22"/>
      <x:c r="M362" s="22"/>
      <x:c r="N362" s="23" t="str">
        <x:f>IF(SUM(L362:M362)=0,"",L362/SUM(L362:M362))</x:f>
      </x:c>
      <x:c r="O362" s="22" t="str">
        <x:f>IF(SUM(L362:M362)=0,"NEW",IF(N362&gt;=0.9,"A",IF(N362&gt;=0.75,"B",IF(N362&gt;=0.5,"C","D"))))</x:f>
        <x:v>NEW</x:v>
      </x:c>
      <x:c r="P362" s="22"/>
      <x:c r="Q362" s="24"/>
      <x:c r="R362" s="24"/>
      <x:c r="S362" s="22"/>
    </x:row>
    <x:row r="363">
      <x:c r="A363" s="22"/>
      <x:c r="B363" s="22"/>
      <x:c r="C363" s="22"/>
      <x:c r="D363" s="22"/>
      <x:c r="E363" s="22"/>
      <x:c r="F363" s="22"/>
      <x:c r="G363" s="22"/>
      <x:c r="H363" s="22"/>
      <x:c r="I363" s="22"/>
      <x:c r="J363" s="22"/>
      <x:c r="K363" s="22"/>
      <x:c r="L363" s="22"/>
      <x:c r="M363" s="22"/>
      <x:c r="N363" s="23" t="str">
        <x:f>IF(SUM(L363:M363)=0,"",L363/SUM(L363:M363))</x:f>
      </x:c>
      <x:c r="O363" s="22" t="str">
        <x:f>IF(SUM(L363:M363)=0,"NEW",IF(N363&gt;=0.9,"A",IF(N363&gt;=0.75,"B",IF(N363&gt;=0.5,"C","D"))))</x:f>
        <x:v>NEW</x:v>
      </x:c>
      <x:c r="P363" s="22"/>
      <x:c r="Q363" s="24"/>
      <x:c r="R363" s="24"/>
      <x:c r="S363" s="22"/>
    </x:row>
    <x:row r="364">
      <x:c r="A364" s="22"/>
      <x:c r="B364" s="22"/>
      <x:c r="C364" s="22"/>
      <x:c r="D364" s="22"/>
      <x:c r="E364" s="22"/>
      <x:c r="F364" s="22"/>
      <x:c r="G364" s="22"/>
      <x:c r="H364" s="22"/>
      <x:c r="I364" s="22"/>
      <x:c r="J364" s="22"/>
      <x:c r="K364" s="22"/>
      <x:c r="L364" s="22"/>
      <x:c r="M364" s="22"/>
      <x:c r="N364" s="23" t="str">
        <x:f>IF(SUM(L364:M364)=0,"",L364/SUM(L364:M364))</x:f>
      </x:c>
      <x:c r="O364" s="22" t="str">
        <x:f>IF(SUM(L364:M364)=0,"NEW",IF(N364&gt;=0.9,"A",IF(N364&gt;=0.75,"B",IF(N364&gt;=0.5,"C","D"))))</x:f>
        <x:v>NEW</x:v>
      </x:c>
      <x:c r="P364" s="22"/>
      <x:c r="Q364" s="24"/>
      <x:c r="R364" s="24"/>
      <x:c r="S364" s="22"/>
    </x:row>
    <x:row r="365">
      <x:c r="A365" s="22"/>
      <x:c r="B365" s="22"/>
      <x:c r="C365" s="22"/>
      <x:c r="D365" s="22"/>
      <x:c r="E365" s="22"/>
      <x:c r="F365" s="22"/>
      <x:c r="G365" s="22"/>
      <x:c r="H365" s="22"/>
      <x:c r="I365" s="22"/>
      <x:c r="J365" s="22"/>
      <x:c r="K365" s="22"/>
      <x:c r="L365" s="22"/>
      <x:c r="M365" s="22"/>
      <x:c r="N365" s="23" t="str">
        <x:f>IF(SUM(L365:M365)=0,"",L365/SUM(L365:M365))</x:f>
      </x:c>
      <x:c r="O365" s="22" t="str">
        <x:f>IF(SUM(L365:M365)=0,"NEW",IF(N365&gt;=0.9,"A",IF(N365&gt;=0.75,"B",IF(N365&gt;=0.5,"C","D"))))</x:f>
        <x:v>NEW</x:v>
      </x:c>
      <x:c r="P365" s="22"/>
      <x:c r="Q365" s="24"/>
      <x:c r="R365" s="24"/>
      <x:c r="S365" s="22"/>
    </x:row>
    <x:row r="366">
      <x:c r="A366" s="22"/>
      <x:c r="B366" s="22"/>
      <x:c r="C366" s="22"/>
      <x:c r="D366" s="22"/>
      <x:c r="E366" s="22"/>
      <x:c r="F366" s="22"/>
      <x:c r="G366" s="22"/>
      <x:c r="H366" s="22"/>
      <x:c r="I366" s="22"/>
      <x:c r="J366" s="22"/>
      <x:c r="K366" s="22"/>
      <x:c r="L366" s="22"/>
      <x:c r="M366" s="22"/>
      <x:c r="N366" s="23" t="str">
        <x:f>IF(SUM(L366:M366)=0,"",L366/SUM(L366:M366))</x:f>
      </x:c>
      <x:c r="O366" s="22" t="str">
        <x:f>IF(SUM(L366:M366)=0,"NEW",IF(N366&gt;=0.9,"A",IF(N366&gt;=0.75,"B",IF(N366&gt;=0.5,"C","D"))))</x:f>
        <x:v>NEW</x:v>
      </x:c>
      <x:c r="P366" s="22"/>
      <x:c r="Q366" s="24"/>
      <x:c r="R366" s="24"/>
      <x:c r="S366" s="22"/>
    </x:row>
    <x:row r="367">
      <x:c r="A367" s="22"/>
      <x:c r="B367" s="22"/>
      <x:c r="C367" s="22"/>
      <x:c r="D367" s="22"/>
      <x:c r="E367" s="22"/>
      <x:c r="F367" s="22"/>
      <x:c r="G367" s="22"/>
      <x:c r="H367" s="22"/>
      <x:c r="I367" s="22"/>
      <x:c r="J367" s="22"/>
      <x:c r="K367" s="22"/>
      <x:c r="L367" s="22"/>
      <x:c r="M367" s="22"/>
      <x:c r="N367" s="23" t="str">
        <x:f>IF(SUM(L367:M367)=0,"",L367/SUM(L367:M367))</x:f>
      </x:c>
      <x:c r="O367" s="22" t="str">
        <x:f>IF(SUM(L367:M367)=0,"NEW",IF(N367&gt;=0.9,"A",IF(N367&gt;=0.75,"B",IF(N367&gt;=0.5,"C","D"))))</x:f>
        <x:v>NEW</x:v>
      </x:c>
      <x:c r="P367" s="22"/>
      <x:c r="Q367" s="24"/>
      <x:c r="R367" s="24"/>
      <x:c r="S367" s="22"/>
    </x:row>
    <x:row r="368">
      <x:c r="A368" s="22"/>
      <x:c r="B368" s="22"/>
      <x:c r="C368" s="22"/>
      <x:c r="D368" s="22"/>
      <x:c r="E368" s="22"/>
      <x:c r="F368" s="22"/>
      <x:c r="G368" s="22"/>
      <x:c r="H368" s="22"/>
      <x:c r="I368" s="22"/>
      <x:c r="J368" s="22"/>
      <x:c r="K368" s="22"/>
      <x:c r="L368" s="22"/>
      <x:c r="M368" s="22"/>
      <x:c r="N368" s="23" t="str">
        <x:f>IF(SUM(L368:M368)=0,"",L368/SUM(L368:M368))</x:f>
      </x:c>
      <x:c r="O368" s="22" t="str">
        <x:f>IF(SUM(L368:M368)=0,"NEW",IF(N368&gt;=0.9,"A",IF(N368&gt;=0.75,"B",IF(N368&gt;=0.5,"C","D"))))</x:f>
        <x:v>NEW</x:v>
      </x:c>
      <x:c r="P368" s="22"/>
      <x:c r="Q368" s="24"/>
      <x:c r="R368" s="24"/>
      <x:c r="S368" s="22"/>
    </x:row>
    <x:row r="369">
      <x:c r="A369" s="22"/>
      <x:c r="B369" s="22"/>
      <x:c r="C369" s="22"/>
      <x:c r="D369" s="22"/>
      <x:c r="E369" s="22"/>
      <x:c r="F369" s="22"/>
      <x:c r="G369" s="22"/>
      <x:c r="H369" s="22"/>
      <x:c r="I369" s="22"/>
      <x:c r="J369" s="22"/>
      <x:c r="K369" s="22"/>
      <x:c r="L369" s="22"/>
      <x:c r="M369" s="22"/>
      <x:c r="N369" s="23" t="str">
        <x:f>IF(SUM(L369:M369)=0,"",L369/SUM(L369:M369))</x:f>
      </x:c>
      <x:c r="O369" s="22" t="str">
        <x:f>IF(SUM(L369:M369)=0,"NEW",IF(N369&gt;=0.9,"A",IF(N369&gt;=0.75,"B",IF(N369&gt;=0.5,"C","D"))))</x:f>
        <x:v>NEW</x:v>
      </x:c>
      <x:c r="P369" s="22"/>
      <x:c r="Q369" s="24"/>
      <x:c r="R369" s="24"/>
      <x:c r="S369" s="22"/>
    </x:row>
    <x:row r="370">
      <x:c r="A370" s="22"/>
      <x:c r="B370" s="22"/>
      <x:c r="C370" s="22"/>
      <x:c r="D370" s="22"/>
      <x:c r="E370" s="22"/>
      <x:c r="F370" s="22"/>
      <x:c r="G370" s="22"/>
      <x:c r="H370" s="22"/>
      <x:c r="I370" s="22"/>
      <x:c r="J370" s="22"/>
      <x:c r="K370" s="22"/>
      <x:c r="L370" s="22"/>
      <x:c r="M370" s="22"/>
      <x:c r="N370" s="23" t="str">
        <x:f>IF(SUM(L370:M370)=0,"",L370/SUM(L370:M370))</x:f>
      </x:c>
      <x:c r="O370" s="22" t="str">
        <x:f>IF(SUM(L370:M370)=0,"NEW",IF(N370&gt;=0.9,"A",IF(N370&gt;=0.75,"B",IF(N370&gt;=0.5,"C","D"))))</x:f>
        <x:v>NEW</x:v>
      </x:c>
      <x:c r="P370" s="22"/>
      <x:c r="Q370" s="24"/>
      <x:c r="R370" s="24"/>
      <x:c r="S370" s="22"/>
    </x:row>
    <x:row r="371">
      <x:c r="A371" s="22"/>
      <x:c r="B371" s="22"/>
      <x:c r="C371" s="22"/>
      <x:c r="D371" s="22"/>
      <x:c r="E371" s="22"/>
      <x:c r="F371" s="22"/>
      <x:c r="G371" s="22"/>
      <x:c r="H371" s="22"/>
      <x:c r="I371" s="22"/>
      <x:c r="J371" s="22"/>
      <x:c r="K371" s="22"/>
      <x:c r="L371" s="22"/>
      <x:c r="M371" s="22"/>
      <x:c r="N371" s="23" t="str">
        <x:f>IF(SUM(L371:M371)=0,"",L371/SUM(L371:M371))</x:f>
      </x:c>
      <x:c r="O371" s="22" t="str">
        <x:f>IF(SUM(L371:M371)=0,"NEW",IF(N371&gt;=0.9,"A",IF(N371&gt;=0.75,"B",IF(N371&gt;=0.5,"C","D"))))</x:f>
        <x:v>NEW</x:v>
      </x:c>
      <x:c r="P371" s="22"/>
      <x:c r="Q371" s="24"/>
      <x:c r="R371" s="24"/>
      <x:c r="S371" s="22"/>
    </x:row>
    <x:row r="372">
      <x:c r="A372" s="22"/>
      <x:c r="B372" s="22"/>
      <x:c r="C372" s="22"/>
      <x:c r="D372" s="22"/>
      <x:c r="E372" s="22"/>
      <x:c r="F372" s="22"/>
      <x:c r="G372" s="22"/>
      <x:c r="H372" s="22"/>
      <x:c r="I372" s="22"/>
      <x:c r="J372" s="22"/>
      <x:c r="K372" s="22"/>
      <x:c r="L372" s="22"/>
      <x:c r="M372" s="22"/>
      <x:c r="N372" s="23" t="str">
        <x:f>IF(SUM(L372:M372)=0,"",L372/SUM(L372:M372))</x:f>
      </x:c>
      <x:c r="O372" s="22" t="str">
        <x:f>IF(SUM(L372:M372)=0,"NEW",IF(N372&gt;=0.9,"A",IF(N372&gt;=0.75,"B",IF(N372&gt;=0.5,"C","D"))))</x:f>
        <x:v>NEW</x:v>
      </x:c>
      <x:c r="P372" s="22"/>
      <x:c r="Q372" s="24"/>
      <x:c r="R372" s="24"/>
      <x:c r="S372" s="22"/>
    </x:row>
    <x:row r="373">
      <x:c r="A373" s="22"/>
      <x:c r="B373" s="22"/>
      <x:c r="C373" s="22"/>
      <x:c r="D373" s="22"/>
      <x:c r="E373" s="22"/>
      <x:c r="F373" s="22"/>
      <x:c r="G373" s="22"/>
      <x:c r="H373" s="22"/>
      <x:c r="I373" s="22"/>
      <x:c r="J373" s="22"/>
      <x:c r="K373" s="22"/>
      <x:c r="L373" s="22"/>
      <x:c r="M373" s="22"/>
      <x:c r="N373" s="23" t="str">
        <x:f>IF(SUM(L373:M373)=0,"",L373/SUM(L373:M373))</x:f>
      </x:c>
      <x:c r="O373" s="22" t="str">
        <x:f>IF(SUM(L373:M373)=0,"NEW",IF(N373&gt;=0.9,"A",IF(N373&gt;=0.75,"B",IF(N373&gt;=0.5,"C","D"))))</x:f>
        <x:v>NEW</x:v>
      </x:c>
      <x:c r="P373" s="22"/>
      <x:c r="Q373" s="24"/>
      <x:c r="R373" s="24"/>
      <x:c r="S373" s="22"/>
    </x:row>
    <x:row r="374">
      <x:c r="A374" s="22"/>
      <x:c r="B374" s="22"/>
      <x:c r="C374" s="22"/>
      <x:c r="D374" s="22"/>
      <x:c r="E374" s="22"/>
      <x:c r="F374" s="22"/>
      <x:c r="G374" s="22"/>
      <x:c r="H374" s="22"/>
      <x:c r="I374" s="22"/>
      <x:c r="J374" s="22"/>
      <x:c r="K374" s="22"/>
      <x:c r="L374" s="22"/>
      <x:c r="M374" s="22"/>
      <x:c r="N374" s="23" t="str">
        <x:f>IF(SUM(L374:M374)=0,"",L374/SUM(L374:M374))</x:f>
      </x:c>
      <x:c r="O374" s="22" t="str">
        <x:f>IF(SUM(L374:M374)=0,"NEW",IF(N374&gt;=0.9,"A",IF(N374&gt;=0.75,"B",IF(N374&gt;=0.5,"C","D"))))</x:f>
        <x:v>NEW</x:v>
      </x:c>
      <x:c r="P374" s="22"/>
      <x:c r="Q374" s="24"/>
      <x:c r="R374" s="24"/>
      <x:c r="S374" s="22"/>
    </x:row>
    <x:row r="375">
      <x:c r="A375" s="22"/>
      <x:c r="B375" s="22"/>
      <x:c r="C375" s="22"/>
      <x:c r="D375" s="22"/>
      <x:c r="E375" s="22"/>
      <x:c r="F375" s="22"/>
      <x:c r="G375" s="22"/>
      <x:c r="H375" s="22"/>
      <x:c r="I375" s="22"/>
      <x:c r="J375" s="22"/>
      <x:c r="K375" s="22"/>
      <x:c r="L375" s="22"/>
      <x:c r="M375" s="22"/>
      <x:c r="N375" s="23" t="str">
        <x:f>IF(SUM(L375:M375)=0,"",L375/SUM(L375:M375))</x:f>
      </x:c>
      <x:c r="O375" s="22" t="str">
        <x:f>IF(SUM(L375:M375)=0,"NEW",IF(N375&gt;=0.9,"A",IF(N375&gt;=0.75,"B",IF(N375&gt;=0.5,"C","D"))))</x:f>
        <x:v>NEW</x:v>
      </x:c>
      <x:c r="P375" s="22"/>
      <x:c r="Q375" s="24"/>
      <x:c r="R375" s="24"/>
      <x:c r="S375" s="22"/>
    </x:row>
    <x:row r="376">
      <x:c r="A376" s="22"/>
      <x:c r="B376" s="22"/>
      <x:c r="C376" s="22"/>
      <x:c r="D376" s="22"/>
      <x:c r="E376" s="22"/>
      <x:c r="F376" s="22"/>
      <x:c r="G376" s="22"/>
      <x:c r="H376" s="22"/>
      <x:c r="I376" s="22"/>
      <x:c r="J376" s="22"/>
      <x:c r="K376" s="22"/>
      <x:c r="L376" s="22"/>
      <x:c r="M376" s="22"/>
      <x:c r="N376" s="23" t="str">
        <x:f>IF(SUM(L376:M376)=0,"",L376/SUM(L376:M376))</x:f>
      </x:c>
      <x:c r="O376" s="22" t="str">
        <x:f>IF(SUM(L376:M376)=0,"NEW",IF(N376&gt;=0.9,"A",IF(N376&gt;=0.75,"B",IF(N376&gt;=0.5,"C","D"))))</x:f>
        <x:v>NEW</x:v>
      </x:c>
      <x:c r="P376" s="22"/>
      <x:c r="Q376" s="24"/>
      <x:c r="R376" s="24"/>
      <x:c r="S376" s="22"/>
    </x:row>
    <x:row r="377">
      <x:c r="A377" s="22"/>
      <x:c r="B377" s="22"/>
      <x:c r="C377" s="22"/>
      <x:c r="D377" s="22"/>
      <x:c r="E377" s="22"/>
      <x:c r="F377" s="22"/>
      <x:c r="G377" s="22"/>
      <x:c r="H377" s="22"/>
      <x:c r="I377" s="22"/>
      <x:c r="J377" s="22"/>
      <x:c r="K377" s="22"/>
      <x:c r="L377" s="22"/>
      <x:c r="M377" s="22"/>
      <x:c r="N377" s="23" t="str">
        <x:f>IF(SUM(L377:M377)=0,"",L377/SUM(L377:M377))</x:f>
      </x:c>
      <x:c r="O377" s="22" t="str">
        <x:f>IF(SUM(L377:M377)=0,"NEW",IF(N377&gt;=0.9,"A",IF(N377&gt;=0.75,"B",IF(N377&gt;=0.5,"C","D"))))</x:f>
        <x:v>NEW</x:v>
      </x:c>
      <x:c r="P377" s="22"/>
      <x:c r="Q377" s="24"/>
      <x:c r="R377" s="24"/>
      <x:c r="S377" s="22"/>
    </x:row>
    <x:row r="378">
      <x:c r="A378" s="22"/>
      <x:c r="B378" s="22"/>
      <x:c r="C378" s="22"/>
      <x:c r="D378" s="22"/>
      <x:c r="E378" s="22"/>
      <x:c r="F378" s="22"/>
      <x:c r="G378" s="22"/>
      <x:c r="H378" s="22"/>
      <x:c r="I378" s="22"/>
      <x:c r="J378" s="22"/>
      <x:c r="K378" s="22"/>
      <x:c r="L378" s="22"/>
      <x:c r="M378" s="22"/>
      <x:c r="N378" s="23" t="str">
        <x:f>IF(SUM(L378:M378)=0,"",L378/SUM(L378:M378))</x:f>
      </x:c>
      <x:c r="O378" s="22" t="str">
        <x:f>IF(SUM(L378:M378)=0,"NEW",IF(N378&gt;=0.9,"A",IF(N378&gt;=0.75,"B",IF(N378&gt;=0.5,"C","D"))))</x:f>
        <x:v>NEW</x:v>
      </x:c>
      <x:c r="P378" s="22"/>
      <x:c r="Q378" s="24"/>
      <x:c r="R378" s="24"/>
      <x:c r="S378" s="22"/>
    </x:row>
    <x:row r="379">
      <x:c r="A379" s="22"/>
      <x:c r="B379" s="22"/>
      <x:c r="C379" s="22"/>
      <x:c r="D379" s="22"/>
      <x:c r="E379" s="22"/>
      <x:c r="F379" s="22"/>
      <x:c r="G379" s="22"/>
      <x:c r="H379" s="22"/>
      <x:c r="I379" s="22"/>
      <x:c r="J379" s="22"/>
      <x:c r="K379" s="22"/>
      <x:c r="L379" s="22"/>
      <x:c r="M379" s="22"/>
      <x:c r="N379" s="23" t="str">
        <x:f>IF(SUM(L379:M379)=0,"",L379/SUM(L379:M379))</x:f>
      </x:c>
      <x:c r="O379" s="22" t="str">
        <x:f>IF(SUM(L379:M379)=0,"NEW",IF(N379&gt;=0.9,"A",IF(N379&gt;=0.75,"B",IF(N379&gt;=0.5,"C","D"))))</x:f>
        <x:v>NEW</x:v>
      </x:c>
      <x:c r="P379" s="22"/>
      <x:c r="Q379" s="24"/>
      <x:c r="R379" s="24"/>
      <x:c r="S379" s="22"/>
    </x:row>
    <x:row r="380">
      <x:c r="A380" s="22"/>
      <x:c r="B380" s="22"/>
      <x:c r="C380" s="22"/>
      <x:c r="D380" s="22"/>
      <x:c r="E380" s="22"/>
      <x:c r="F380" s="22"/>
      <x:c r="G380" s="22"/>
      <x:c r="H380" s="22"/>
      <x:c r="I380" s="22"/>
      <x:c r="J380" s="22"/>
      <x:c r="K380" s="22"/>
      <x:c r="L380" s="22"/>
      <x:c r="M380" s="22"/>
      <x:c r="N380" s="23" t="str">
        <x:f>IF(SUM(L380:M380)=0,"",L380/SUM(L380:M380))</x:f>
      </x:c>
      <x:c r="O380" s="22" t="str">
        <x:f>IF(SUM(L380:M380)=0,"NEW",IF(N380&gt;=0.9,"A",IF(N380&gt;=0.75,"B",IF(N380&gt;=0.5,"C","D"))))</x:f>
        <x:v>NEW</x:v>
      </x:c>
      <x:c r="P380" s="22"/>
      <x:c r="Q380" s="24"/>
      <x:c r="R380" s="24"/>
      <x:c r="S380" s="22"/>
    </x:row>
    <x:row r="381">
      <x:c r="A381" s="22"/>
      <x:c r="B381" s="22"/>
      <x:c r="C381" s="22"/>
      <x:c r="D381" s="22"/>
      <x:c r="E381" s="22"/>
      <x:c r="F381" s="22"/>
      <x:c r="G381" s="22"/>
      <x:c r="H381" s="22"/>
      <x:c r="I381" s="22"/>
      <x:c r="J381" s="22"/>
      <x:c r="K381" s="22"/>
      <x:c r="L381" s="22"/>
      <x:c r="M381" s="22"/>
      <x:c r="N381" s="23" t="str">
        <x:f>IF(SUM(L381:M381)=0,"",L381/SUM(L381:M381))</x:f>
      </x:c>
      <x:c r="O381" s="22" t="str">
        <x:f>IF(SUM(L381:M381)=0,"NEW",IF(N381&gt;=0.9,"A",IF(N381&gt;=0.75,"B",IF(N381&gt;=0.5,"C","D"))))</x:f>
        <x:v>NEW</x:v>
      </x:c>
      <x:c r="P381" s="22"/>
      <x:c r="Q381" s="24"/>
      <x:c r="R381" s="24"/>
      <x:c r="S381" s="22"/>
    </x:row>
    <x:row r="382">
      <x:c r="A382" s="22"/>
      <x:c r="B382" s="22"/>
      <x:c r="C382" s="22"/>
      <x:c r="D382" s="22"/>
      <x:c r="E382" s="22"/>
      <x:c r="F382" s="22"/>
      <x:c r="G382" s="22"/>
      <x:c r="H382" s="22"/>
      <x:c r="I382" s="22"/>
      <x:c r="J382" s="22"/>
      <x:c r="K382" s="22"/>
      <x:c r="L382" s="22"/>
      <x:c r="M382" s="22"/>
      <x:c r="N382" s="23" t="str">
        <x:f>IF(SUM(L382:M382)=0,"",L382/SUM(L382:M382))</x:f>
      </x:c>
      <x:c r="O382" s="22" t="str">
        <x:f>IF(SUM(L382:M382)=0,"NEW",IF(N382&gt;=0.9,"A",IF(N382&gt;=0.75,"B",IF(N382&gt;=0.5,"C","D"))))</x:f>
        <x:v>NEW</x:v>
      </x:c>
      <x:c r="P382" s="22"/>
      <x:c r="Q382" s="24"/>
      <x:c r="R382" s="24"/>
      <x:c r="S382" s="22"/>
    </x:row>
    <x:row r="383">
      <x:c r="A383" s="22"/>
      <x:c r="B383" s="22"/>
      <x:c r="C383" s="22"/>
      <x:c r="D383" s="22"/>
      <x:c r="E383" s="22"/>
      <x:c r="F383" s="22"/>
      <x:c r="G383" s="22"/>
      <x:c r="H383" s="22"/>
      <x:c r="I383" s="22"/>
      <x:c r="J383" s="22"/>
      <x:c r="K383" s="22"/>
      <x:c r="L383" s="22"/>
      <x:c r="M383" s="22"/>
      <x:c r="N383" s="23" t="str">
        <x:f>IF(SUM(L383:M383)=0,"",L383/SUM(L383:M383))</x:f>
      </x:c>
      <x:c r="O383" s="22" t="str">
        <x:f>IF(SUM(L383:M383)=0,"NEW",IF(N383&gt;=0.9,"A",IF(N383&gt;=0.75,"B",IF(N383&gt;=0.5,"C","D"))))</x:f>
        <x:v>NEW</x:v>
      </x:c>
      <x:c r="P383" s="22"/>
      <x:c r="Q383" s="24"/>
      <x:c r="R383" s="24"/>
      <x:c r="S383" s="22"/>
    </x:row>
    <x:row r="384">
      <x:c r="A384" s="22"/>
      <x:c r="B384" s="22"/>
      <x:c r="C384" s="22"/>
      <x:c r="D384" s="22"/>
      <x:c r="E384" s="22"/>
      <x:c r="F384" s="22"/>
      <x:c r="G384" s="22"/>
      <x:c r="H384" s="22"/>
      <x:c r="I384" s="22"/>
      <x:c r="J384" s="22"/>
      <x:c r="K384" s="22"/>
      <x:c r="L384" s="22"/>
      <x:c r="M384" s="22"/>
      <x:c r="N384" s="23" t="str">
        <x:f>IF(SUM(L384:M384)=0,"",L384/SUM(L384:M384))</x:f>
      </x:c>
      <x:c r="O384" s="22" t="str">
        <x:f>IF(SUM(L384:M384)=0,"NEW",IF(N384&gt;=0.9,"A",IF(N384&gt;=0.75,"B",IF(N384&gt;=0.5,"C","D"))))</x:f>
        <x:v>NEW</x:v>
      </x:c>
      <x:c r="P384" s="22"/>
      <x:c r="Q384" s="24"/>
      <x:c r="R384" s="24"/>
      <x:c r="S384" s="22"/>
    </x:row>
    <x:row r="385">
      <x:c r="A385" s="22"/>
      <x:c r="B385" s="22"/>
      <x:c r="C385" s="22"/>
      <x:c r="D385" s="22"/>
      <x:c r="E385" s="22"/>
      <x:c r="F385" s="22"/>
      <x:c r="G385" s="22"/>
      <x:c r="H385" s="22"/>
      <x:c r="I385" s="22"/>
      <x:c r="J385" s="22"/>
      <x:c r="K385" s="22"/>
      <x:c r="L385" s="22"/>
      <x:c r="M385" s="22"/>
      <x:c r="N385" s="23" t="str">
        <x:f>IF(SUM(L385:M385)=0,"",L385/SUM(L385:M385))</x:f>
      </x:c>
      <x:c r="O385" s="22" t="str">
        <x:f>IF(SUM(L385:M385)=0,"NEW",IF(N385&gt;=0.9,"A",IF(N385&gt;=0.75,"B",IF(N385&gt;=0.5,"C","D"))))</x:f>
        <x:v>NEW</x:v>
      </x:c>
      <x:c r="P385" s="22"/>
      <x:c r="Q385" s="24"/>
      <x:c r="R385" s="24"/>
      <x:c r="S385" s="22"/>
    </x:row>
    <x:row r="386">
      <x:c r="A386" s="22"/>
      <x:c r="B386" s="22"/>
      <x:c r="C386" s="22"/>
      <x:c r="D386" s="22"/>
      <x:c r="E386" s="22"/>
      <x:c r="F386" s="22"/>
      <x:c r="G386" s="22"/>
      <x:c r="H386" s="22"/>
      <x:c r="I386" s="22"/>
      <x:c r="J386" s="22"/>
      <x:c r="K386" s="22"/>
      <x:c r="L386" s="22"/>
      <x:c r="M386" s="22"/>
      <x:c r="N386" s="23" t="str">
        <x:f>IF(SUM(L386:M386)=0,"",L386/SUM(L386:M386))</x:f>
      </x:c>
      <x:c r="O386" s="22" t="str">
        <x:f>IF(SUM(L386:M386)=0,"NEW",IF(N386&gt;=0.9,"A",IF(N386&gt;=0.75,"B",IF(N386&gt;=0.5,"C","D"))))</x:f>
        <x:v>NEW</x:v>
      </x:c>
      <x:c r="P386" s="22"/>
      <x:c r="Q386" s="24"/>
      <x:c r="R386" s="24"/>
      <x:c r="S386" s="22"/>
    </x:row>
    <x:row r="387">
      <x:c r="A387" s="22"/>
      <x:c r="B387" s="22"/>
      <x:c r="C387" s="22"/>
      <x:c r="D387" s="22"/>
      <x:c r="E387" s="22"/>
      <x:c r="F387" s="22"/>
      <x:c r="G387" s="22"/>
      <x:c r="H387" s="22"/>
      <x:c r="I387" s="22"/>
      <x:c r="J387" s="22"/>
      <x:c r="K387" s="22"/>
      <x:c r="L387" s="22"/>
      <x:c r="M387" s="22"/>
      <x:c r="N387" s="23" t="str">
        <x:f>IF(SUM(L387:M387)=0,"",L387/SUM(L387:M387))</x:f>
      </x:c>
      <x:c r="O387" s="22" t="str">
        <x:f>IF(SUM(L387:M387)=0,"NEW",IF(N387&gt;=0.9,"A",IF(N387&gt;=0.75,"B",IF(N387&gt;=0.5,"C","D"))))</x:f>
        <x:v>NEW</x:v>
      </x:c>
      <x:c r="P387" s="22"/>
      <x:c r="Q387" s="24"/>
      <x:c r="R387" s="24"/>
      <x:c r="S387" s="22"/>
    </x:row>
    <x:row r="388">
      <x:c r="A388" s="22"/>
      <x:c r="B388" s="22"/>
      <x:c r="C388" s="22"/>
      <x:c r="D388" s="22"/>
      <x:c r="E388" s="22"/>
      <x:c r="F388" s="22"/>
      <x:c r="G388" s="22"/>
      <x:c r="H388" s="22"/>
      <x:c r="I388" s="22"/>
      <x:c r="J388" s="22"/>
      <x:c r="K388" s="22"/>
      <x:c r="L388" s="22"/>
      <x:c r="M388" s="22"/>
      <x:c r="N388" s="23" t="str">
        <x:f>IF(SUM(L388:M388)=0,"",L388/SUM(L388:M388))</x:f>
      </x:c>
      <x:c r="O388" s="22" t="str">
        <x:f>IF(SUM(L388:M388)=0,"NEW",IF(N388&gt;=0.9,"A",IF(N388&gt;=0.75,"B",IF(N388&gt;=0.5,"C","D"))))</x:f>
        <x:v>NEW</x:v>
      </x:c>
      <x:c r="P388" s="22"/>
      <x:c r="Q388" s="24"/>
      <x:c r="R388" s="24"/>
      <x:c r="S388" s="22"/>
    </x:row>
    <x:row r="389">
      <x:c r="A389" s="22"/>
      <x:c r="B389" s="22"/>
      <x:c r="C389" s="22"/>
      <x:c r="D389" s="22"/>
      <x:c r="E389" s="22"/>
      <x:c r="F389" s="22"/>
      <x:c r="G389" s="22"/>
      <x:c r="H389" s="22"/>
      <x:c r="I389" s="22"/>
      <x:c r="J389" s="22"/>
      <x:c r="K389" s="22"/>
      <x:c r="L389" s="22"/>
      <x:c r="M389" s="22"/>
      <x:c r="N389" s="23" t="str">
        <x:f>IF(SUM(L389:M389)=0,"",L389/SUM(L389:M389))</x:f>
      </x:c>
      <x:c r="O389" s="22" t="str">
        <x:f>IF(SUM(L389:M389)=0,"NEW",IF(N389&gt;=0.9,"A",IF(N389&gt;=0.75,"B",IF(N389&gt;=0.5,"C","D"))))</x:f>
        <x:v>NEW</x:v>
      </x:c>
      <x:c r="P389" s="22"/>
      <x:c r="Q389" s="24"/>
      <x:c r="R389" s="24"/>
      <x:c r="S389" s="22"/>
    </x:row>
    <x:row r="390">
      <x:c r="A390" s="22"/>
      <x:c r="B390" s="22"/>
      <x:c r="C390" s="22"/>
      <x:c r="D390" s="22"/>
      <x:c r="E390" s="22"/>
      <x:c r="F390" s="22"/>
      <x:c r="G390" s="22"/>
      <x:c r="H390" s="22"/>
      <x:c r="I390" s="22"/>
      <x:c r="J390" s="22"/>
      <x:c r="K390" s="22"/>
      <x:c r="L390" s="22"/>
      <x:c r="M390" s="22"/>
      <x:c r="N390" s="23" t="str">
        <x:f>IF(SUM(L390:M390)=0,"",L390/SUM(L390:M390))</x:f>
      </x:c>
      <x:c r="O390" s="22" t="str">
        <x:f>IF(SUM(L390:M390)=0,"NEW",IF(N390&gt;=0.9,"A",IF(N390&gt;=0.75,"B",IF(N390&gt;=0.5,"C","D"))))</x:f>
        <x:v>NEW</x:v>
      </x:c>
      <x:c r="P390" s="22"/>
      <x:c r="Q390" s="24"/>
      <x:c r="R390" s="24"/>
      <x:c r="S390" s="22"/>
    </x:row>
    <x:row r="391">
      <x:c r="A391" s="22"/>
      <x:c r="B391" s="22"/>
      <x:c r="C391" s="22"/>
      <x:c r="D391" s="22"/>
      <x:c r="E391" s="22"/>
      <x:c r="F391" s="22"/>
      <x:c r="G391" s="22"/>
      <x:c r="H391" s="22"/>
      <x:c r="I391" s="22"/>
      <x:c r="J391" s="22"/>
      <x:c r="K391" s="22"/>
      <x:c r="L391" s="22"/>
      <x:c r="M391" s="22"/>
      <x:c r="N391" s="23" t="str">
        <x:f>IF(SUM(L391:M391)=0,"",L391/SUM(L391:M391))</x:f>
      </x:c>
      <x:c r="O391" s="22" t="str">
        <x:f>IF(SUM(L391:M391)=0,"NEW",IF(N391&gt;=0.9,"A",IF(N391&gt;=0.75,"B",IF(N391&gt;=0.5,"C","D"))))</x:f>
        <x:v>NEW</x:v>
      </x:c>
      <x:c r="P391" s="22"/>
      <x:c r="Q391" s="24"/>
      <x:c r="R391" s="24"/>
      <x:c r="S391" s="22"/>
    </x:row>
    <x:row r="392">
      <x:c r="A392" s="22"/>
      <x:c r="B392" s="22"/>
      <x:c r="C392" s="22"/>
      <x:c r="D392" s="22"/>
      <x:c r="E392" s="22"/>
      <x:c r="F392" s="22"/>
      <x:c r="G392" s="22"/>
      <x:c r="H392" s="22"/>
      <x:c r="I392" s="22"/>
      <x:c r="J392" s="22"/>
      <x:c r="K392" s="22"/>
      <x:c r="L392" s="22"/>
      <x:c r="M392" s="22"/>
      <x:c r="N392" s="23" t="str">
        <x:f>IF(SUM(L392:M392)=0,"",L392/SUM(L392:M392))</x:f>
      </x:c>
      <x:c r="O392" s="22" t="str">
        <x:f>IF(SUM(L392:M392)=0,"NEW",IF(N392&gt;=0.9,"A",IF(N392&gt;=0.75,"B",IF(N392&gt;=0.5,"C","D"))))</x:f>
        <x:v>NEW</x:v>
      </x:c>
      <x:c r="P392" s="22"/>
      <x:c r="Q392" s="24"/>
      <x:c r="R392" s="24"/>
      <x:c r="S392" s="22"/>
    </x:row>
    <x:row r="393">
      <x:c r="A393" s="22"/>
      <x:c r="B393" s="22"/>
      <x:c r="C393" s="22"/>
      <x:c r="D393" s="22"/>
      <x:c r="E393" s="22"/>
      <x:c r="F393" s="22"/>
      <x:c r="G393" s="22"/>
      <x:c r="H393" s="22"/>
      <x:c r="I393" s="22"/>
      <x:c r="J393" s="22"/>
      <x:c r="K393" s="22"/>
      <x:c r="L393" s="22"/>
      <x:c r="M393" s="22"/>
      <x:c r="N393" s="23" t="str">
        <x:f>IF(SUM(L393:M393)=0,"",L393/SUM(L393:M393))</x:f>
      </x:c>
      <x:c r="O393" s="22" t="str">
        <x:f>IF(SUM(L393:M393)=0,"NEW",IF(N393&gt;=0.9,"A",IF(N393&gt;=0.75,"B",IF(N393&gt;=0.5,"C","D"))))</x:f>
        <x:v>NEW</x:v>
      </x:c>
      <x:c r="P393" s="22"/>
      <x:c r="Q393" s="24"/>
      <x:c r="R393" s="24"/>
      <x:c r="S393" s="22"/>
    </x:row>
    <x:row r="394">
      <x:c r="A394" s="22"/>
      <x:c r="B394" s="22"/>
      <x:c r="C394" s="22"/>
      <x:c r="D394" s="22"/>
      <x:c r="E394" s="22"/>
      <x:c r="F394" s="22"/>
      <x:c r="G394" s="22"/>
      <x:c r="H394" s="22"/>
      <x:c r="I394" s="22"/>
      <x:c r="J394" s="22"/>
      <x:c r="K394" s="22"/>
      <x:c r="L394" s="22"/>
      <x:c r="M394" s="22"/>
      <x:c r="N394" s="23" t="str">
        <x:f>IF(SUM(L394:M394)=0,"",L394/SUM(L394:M394))</x:f>
      </x:c>
      <x:c r="O394" s="22" t="str">
        <x:f>IF(SUM(L394:M394)=0,"NEW",IF(N394&gt;=0.9,"A",IF(N394&gt;=0.75,"B",IF(N394&gt;=0.5,"C","D"))))</x:f>
        <x:v>NEW</x:v>
      </x:c>
      <x:c r="P394" s="22"/>
      <x:c r="Q394" s="24"/>
      <x:c r="R394" s="24"/>
      <x:c r="S394" s="22"/>
    </x:row>
    <x:row r="395">
      <x:c r="A395" s="22"/>
      <x:c r="B395" s="22"/>
      <x:c r="C395" s="22"/>
      <x:c r="D395" s="22"/>
      <x:c r="E395" s="22"/>
      <x:c r="F395" s="22"/>
      <x:c r="G395" s="22"/>
      <x:c r="H395" s="22"/>
      <x:c r="I395" s="22"/>
      <x:c r="J395" s="22"/>
      <x:c r="K395" s="22"/>
      <x:c r="L395" s="22"/>
      <x:c r="M395" s="22"/>
      <x:c r="N395" s="23" t="str">
        <x:f>IF(SUM(L395:M395)=0,"",L395/SUM(L395:M395))</x:f>
      </x:c>
      <x:c r="O395" s="22" t="str">
        <x:f>IF(SUM(L395:M395)=0,"NEW",IF(N395&gt;=0.9,"A",IF(N395&gt;=0.75,"B",IF(N395&gt;=0.5,"C","D"))))</x:f>
        <x:v>NEW</x:v>
      </x:c>
      <x:c r="P395" s="22"/>
      <x:c r="Q395" s="24"/>
      <x:c r="R395" s="24"/>
      <x:c r="S395" s="22"/>
    </x:row>
    <x:row r="396">
      <x:c r="A396" s="22"/>
      <x:c r="B396" s="22"/>
      <x:c r="C396" s="22"/>
      <x:c r="D396" s="22"/>
      <x:c r="E396" s="22"/>
      <x:c r="F396" s="22"/>
      <x:c r="G396" s="22"/>
      <x:c r="H396" s="22"/>
      <x:c r="I396" s="22"/>
      <x:c r="J396" s="22"/>
      <x:c r="K396" s="22"/>
      <x:c r="L396" s="22"/>
      <x:c r="M396" s="22"/>
      <x:c r="N396" s="23" t="str">
        <x:f>IF(SUM(L396:M396)=0,"",L396/SUM(L396:M396))</x:f>
      </x:c>
      <x:c r="O396" s="22" t="str">
        <x:f>IF(SUM(L396:M396)=0,"NEW",IF(N396&gt;=0.9,"A",IF(N396&gt;=0.75,"B",IF(N396&gt;=0.5,"C","D"))))</x:f>
        <x:v>NEW</x:v>
      </x:c>
      <x:c r="P396" s="22"/>
      <x:c r="Q396" s="24"/>
      <x:c r="R396" s="24"/>
      <x:c r="S396" s="22"/>
    </x:row>
    <x:row r="397">
      <x:c r="A397" s="22"/>
      <x:c r="B397" s="22"/>
      <x:c r="C397" s="22"/>
      <x:c r="D397" s="22"/>
      <x:c r="E397" s="22"/>
      <x:c r="F397" s="22"/>
      <x:c r="G397" s="22"/>
      <x:c r="H397" s="22"/>
      <x:c r="I397" s="22"/>
      <x:c r="J397" s="22"/>
      <x:c r="K397" s="22"/>
      <x:c r="L397" s="22"/>
      <x:c r="M397" s="22"/>
      <x:c r="N397" s="23" t="str">
        <x:f>IF(SUM(L397:M397)=0,"",L397/SUM(L397:M397))</x:f>
      </x:c>
      <x:c r="O397" s="22" t="str">
        <x:f>IF(SUM(L397:M397)=0,"NEW",IF(N397&gt;=0.9,"A",IF(N397&gt;=0.75,"B",IF(N397&gt;=0.5,"C","D"))))</x:f>
        <x:v>NEW</x:v>
      </x:c>
      <x:c r="P397" s="22"/>
      <x:c r="Q397" s="24"/>
      <x:c r="R397" s="24"/>
      <x:c r="S397" s="22"/>
    </x:row>
    <x:row r="398">
      <x:c r="A398" s="22"/>
      <x:c r="B398" s="22"/>
      <x:c r="C398" s="22"/>
      <x:c r="D398" s="22"/>
      <x:c r="E398" s="22"/>
      <x:c r="F398" s="22"/>
      <x:c r="G398" s="22"/>
      <x:c r="H398" s="22"/>
      <x:c r="I398" s="22"/>
      <x:c r="J398" s="22"/>
      <x:c r="K398" s="22"/>
      <x:c r="L398" s="22"/>
      <x:c r="M398" s="22"/>
      <x:c r="N398" s="23" t="str">
        <x:f>IF(SUM(L398:M398)=0,"",L398/SUM(L398:M398))</x:f>
      </x:c>
      <x:c r="O398" s="22" t="str">
        <x:f>IF(SUM(L398:M398)=0,"NEW",IF(N398&gt;=0.9,"A",IF(N398&gt;=0.75,"B",IF(N398&gt;=0.5,"C","D"))))</x:f>
        <x:v>NEW</x:v>
      </x:c>
      <x:c r="P398" s="22"/>
      <x:c r="Q398" s="24"/>
      <x:c r="R398" s="24"/>
      <x:c r="S398" s="22"/>
    </x:row>
    <x:row r="399">
      <x:c r="A399" s="22"/>
      <x:c r="B399" s="22"/>
      <x:c r="C399" s="22"/>
      <x:c r="D399" s="22"/>
      <x:c r="E399" s="22"/>
      <x:c r="F399" s="22"/>
      <x:c r="G399" s="22"/>
      <x:c r="H399" s="22"/>
      <x:c r="I399" s="22"/>
      <x:c r="J399" s="22"/>
      <x:c r="K399" s="22"/>
      <x:c r="L399" s="22"/>
      <x:c r="M399" s="22"/>
      <x:c r="N399" s="23" t="str">
        <x:f>IF(SUM(L399:M399)=0,"",L399/SUM(L399:M399))</x:f>
      </x:c>
      <x:c r="O399" s="22" t="str">
        <x:f>IF(SUM(L399:M399)=0,"NEW",IF(N399&gt;=0.9,"A",IF(N399&gt;=0.75,"B",IF(N399&gt;=0.5,"C","D"))))</x:f>
        <x:v>NEW</x:v>
      </x:c>
      <x:c r="P399" s="22"/>
      <x:c r="Q399" s="24"/>
      <x:c r="R399" s="24"/>
      <x:c r="S399" s="22"/>
    </x:row>
    <x:row r="400">
      <x:c r="A400" s="22"/>
      <x:c r="B400" s="22"/>
      <x:c r="C400" s="22"/>
      <x:c r="D400" s="22"/>
      <x:c r="E400" s="22"/>
      <x:c r="F400" s="22"/>
      <x:c r="G400" s="22"/>
      <x:c r="H400" s="22"/>
      <x:c r="I400" s="22"/>
      <x:c r="J400" s="22"/>
      <x:c r="K400" s="22"/>
      <x:c r="L400" s="22"/>
      <x:c r="M400" s="22"/>
      <x:c r="N400" s="23" t="str">
        <x:f>IF(SUM(L400:M400)=0,"",L400/SUM(L400:M400))</x:f>
      </x:c>
      <x:c r="O400" s="22" t="str">
        <x:f>IF(SUM(L400:M400)=0,"NEW",IF(N400&gt;=0.9,"A",IF(N400&gt;=0.75,"B",IF(N400&gt;=0.5,"C","D"))))</x:f>
        <x:v>NEW</x:v>
      </x:c>
      <x:c r="P400" s="22"/>
      <x:c r="Q400" s="24"/>
      <x:c r="R400" s="24"/>
      <x:c r="S400" s="22"/>
    </x:row>
    <x:row r="401">
      <x:c r="A401" s="22"/>
      <x:c r="B401" s="22"/>
      <x:c r="C401" s="22"/>
      <x:c r="D401" s="22"/>
      <x:c r="E401" s="22"/>
      <x:c r="F401" s="22"/>
      <x:c r="G401" s="22"/>
      <x:c r="H401" s="22"/>
      <x:c r="I401" s="22"/>
      <x:c r="J401" s="22"/>
      <x:c r="K401" s="22"/>
      <x:c r="L401" s="22"/>
      <x:c r="M401" s="22"/>
      <x:c r="N401" s="23" t="str">
        <x:f>IF(SUM(L401:M401)=0,"",L401/SUM(L401:M401))</x:f>
      </x:c>
      <x:c r="O401" s="22" t="str">
        <x:f>IF(SUM(L401:M401)=0,"NEW",IF(N401&gt;=0.9,"A",IF(N401&gt;=0.75,"B",IF(N401&gt;=0.5,"C","D"))))</x:f>
        <x:v>NEW</x:v>
      </x:c>
      <x:c r="P401" s="22"/>
      <x:c r="Q401" s="24"/>
      <x:c r="R401" s="24"/>
      <x:c r="S401" s="22"/>
    </x:row>
    <x:row r="402">
      <x:c r="A402" s="22"/>
      <x:c r="B402" s="22"/>
      <x:c r="C402" s="22"/>
      <x:c r="D402" s="22"/>
      <x:c r="E402" s="22"/>
      <x:c r="F402" s="22"/>
      <x:c r="G402" s="22"/>
      <x:c r="H402" s="22"/>
      <x:c r="I402" s="22"/>
      <x:c r="J402" s="22"/>
      <x:c r="K402" s="22"/>
      <x:c r="L402" s="22"/>
      <x:c r="M402" s="22"/>
      <x:c r="N402" s="23" t="str">
        <x:f>IF(SUM(L402:M402)=0,"",L402/SUM(L402:M402))</x:f>
      </x:c>
      <x:c r="O402" s="22" t="str">
        <x:f>IF(SUM(L402:M402)=0,"NEW",IF(N402&gt;=0.9,"A",IF(N402&gt;=0.75,"B",IF(N402&gt;=0.5,"C","D"))))</x:f>
        <x:v>NEW</x:v>
      </x:c>
      <x:c r="P402" s="22"/>
      <x:c r="Q402" s="24"/>
      <x:c r="R402" s="24"/>
      <x:c r="S402" s="22"/>
    </x:row>
    <x:row r="403">
      <x:c r="A403" s="22"/>
      <x:c r="B403" s="22"/>
      <x:c r="C403" s="22"/>
      <x:c r="D403" s="22"/>
      <x:c r="E403" s="22"/>
      <x:c r="F403" s="22"/>
      <x:c r="G403" s="22"/>
      <x:c r="H403" s="22"/>
      <x:c r="I403" s="22"/>
      <x:c r="J403" s="22"/>
      <x:c r="K403" s="22"/>
      <x:c r="L403" s="22"/>
      <x:c r="M403" s="22"/>
      <x:c r="N403" s="23" t="str">
        <x:f>IF(SUM(L403:M403)=0,"",L403/SUM(L403:M403))</x:f>
      </x:c>
      <x:c r="O403" s="22" t="str">
        <x:f>IF(SUM(L403:M403)=0,"NEW",IF(N403&gt;=0.9,"A",IF(N403&gt;=0.75,"B",IF(N403&gt;=0.5,"C","D"))))</x:f>
        <x:v>NEW</x:v>
      </x:c>
      <x:c r="P403" s="22"/>
      <x:c r="Q403" s="24"/>
      <x:c r="R403" s="24"/>
      <x:c r="S403" s="22"/>
    </x:row>
    <x:row r="404">
      <x:c r="A404" s="22"/>
      <x:c r="B404" s="22"/>
      <x:c r="C404" s="22"/>
      <x:c r="D404" s="22"/>
      <x:c r="E404" s="22"/>
      <x:c r="F404" s="22"/>
      <x:c r="G404" s="22"/>
      <x:c r="H404" s="22"/>
      <x:c r="I404" s="22"/>
      <x:c r="J404" s="22"/>
      <x:c r="K404" s="22"/>
      <x:c r="L404" s="22"/>
      <x:c r="M404" s="22"/>
      <x:c r="N404" s="23" t="str">
        <x:f>IF(SUM(L404:M404)=0,"",L404/SUM(L404:M404))</x:f>
      </x:c>
      <x:c r="O404" s="22" t="str">
        <x:f>IF(SUM(L404:M404)=0,"NEW",IF(N404&gt;=0.9,"A",IF(N404&gt;=0.75,"B",IF(N404&gt;=0.5,"C","D"))))</x:f>
        <x:v>NEW</x:v>
      </x:c>
      <x:c r="P404" s="22"/>
      <x:c r="Q404" s="24"/>
      <x:c r="R404" s="24"/>
      <x:c r="S404" s="22"/>
    </x:row>
    <x:row r="405">
      <x:c r="A405" s="22"/>
      <x:c r="B405" s="22"/>
      <x:c r="C405" s="22"/>
      <x:c r="D405" s="22"/>
      <x:c r="E405" s="22"/>
      <x:c r="F405" s="22"/>
      <x:c r="G405" s="22"/>
      <x:c r="H405" s="22"/>
      <x:c r="I405" s="22"/>
      <x:c r="J405" s="22"/>
      <x:c r="K405" s="22"/>
      <x:c r="L405" s="22"/>
      <x:c r="M405" s="22"/>
      <x:c r="N405" s="23" t="str">
        <x:f>IF(SUM(L405:M405)=0,"",L405/SUM(L405:M405))</x:f>
      </x:c>
      <x:c r="O405" s="22" t="str">
        <x:f>IF(SUM(L405:M405)=0,"NEW",IF(N405&gt;=0.9,"A",IF(N405&gt;=0.75,"B",IF(N405&gt;=0.5,"C","D"))))</x:f>
        <x:v>NEW</x:v>
      </x:c>
      <x:c r="P405" s="22"/>
      <x:c r="Q405" s="24"/>
      <x:c r="R405" s="24"/>
      <x:c r="S405" s="22"/>
    </x:row>
    <x:row r="406">
      <x:c r="A406" s="22"/>
      <x:c r="B406" s="22"/>
      <x:c r="C406" s="22"/>
      <x:c r="D406" s="22"/>
      <x:c r="E406" s="22"/>
      <x:c r="F406" s="22"/>
      <x:c r="G406" s="22"/>
      <x:c r="H406" s="22"/>
      <x:c r="I406" s="22"/>
      <x:c r="J406" s="22"/>
      <x:c r="K406" s="22"/>
      <x:c r="L406" s="22"/>
      <x:c r="M406" s="22"/>
      <x:c r="N406" s="23" t="str">
        <x:f>IF(SUM(L406:M406)=0,"",L406/SUM(L406:M406))</x:f>
      </x:c>
      <x:c r="O406" s="22" t="str">
        <x:f>IF(SUM(L406:M406)=0,"NEW",IF(N406&gt;=0.9,"A",IF(N406&gt;=0.75,"B",IF(N406&gt;=0.5,"C","D"))))</x:f>
        <x:v>NEW</x:v>
      </x:c>
      <x:c r="P406" s="22"/>
      <x:c r="Q406" s="24"/>
      <x:c r="R406" s="24"/>
      <x:c r="S406" s="22"/>
    </x:row>
    <x:row r="407">
      <x:c r="A407" s="22"/>
      <x:c r="B407" s="22"/>
      <x:c r="C407" s="22"/>
      <x:c r="D407" s="22"/>
      <x:c r="E407" s="22"/>
      <x:c r="F407" s="22"/>
      <x:c r="G407" s="22"/>
      <x:c r="H407" s="22"/>
      <x:c r="I407" s="22"/>
      <x:c r="J407" s="22"/>
      <x:c r="K407" s="22"/>
      <x:c r="L407" s="22"/>
      <x:c r="M407" s="22"/>
      <x:c r="N407" s="23" t="str">
        <x:f>IF(SUM(L407:M407)=0,"",L407/SUM(L407:M407))</x:f>
      </x:c>
      <x:c r="O407" s="22" t="str">
        <x:f>IF(SUM(L407:M407)=0,"NEW",IF(N407&gt;=0.9,"A",IF(N407&gt;=0.75,"B",IF(N407&gt;=0.5,"C","D"))))</x:f>
        <x:v>NEW</x:v>
      </x:c>
      <x:c r="P407" s="22"/>
      <x:c r="Q407" s="24"/>
      <x:c r="R407" s="24"/>
      <x:c r="S407" s="22"/>
    </x:row>
    <x:row r="408">
      <x:c r="A408" s="22"/>
      <x:c r="B408" s="22"/>
      <x:c r="C408" s="22"/>
      <x:c r="D408" s="22"/>
      <x:c r="E408" s="22"/>
      <x:c r="F408" s="22"/>
      <x:c r="G408" s="22"/>
      <x:c r="H408" s="22"/>
      <x:c r="I408" s="22"/>
      <x:c r="J408" s="22"/>
      <x:c r="K408" s="22"/>
      <x:c r="L408" s="22"/>
      <x:c r="M408" s="22"/>
      <x:c r="N408" s="23" t="str">
        <x:f>IF(SUM(L408:M408)=0,"",L408/SUM(L408:M408))</x:f>
      </x:c>
      <x:c r="O408" s="22" t="str">
        <x:f>IF(SUM(L408:M408)=0,"NEW",IF(N408&gt;=0.9,"A",IF(N408&gt;=0.75,"B",IF(N408&gt;=0.5,"C","D"))))</x:f>
        <x:v>NEW</x:v>
      </x:c>
      <x:c r="P408" s="22"/>
      <x:c r="Q408" s="24"/>
      <x:c r="R408" s="24"/>
      <x:c r="S408" s="22"/>
    </x:row>
    <x:row r="409">
      <x:c r="A409" s="22"/>
      <x:c r="B409" s="22"/>
      <x:c r="C409" s="22"/>
      <x:c r="D409" s="22"/>
      <x:c r="E409" s="22"/>
      <x:c r="F409" s="22"/>
      <x:c r="G409" s="22"/>
      <x:c r="H409" s="22"/>
      <x:c r="I409" s="22"/>
      <x:c r="J409" s="22"/>
      <x:c r="K409" s="22"/>
      <x:c r="L409" s="22"/>
      <x:c r="M409" s="22"/>
      <x:c r="N409" s="23" t="str">
        <x:f>IF(SUM(L409:M409)=0,"",L409/SUM(L409:M409))</x:f>
      </x:c>
      <x:c r="O409" s="22" t="str">
        <x:f>IF(SUM(L409:M409)=0,"NEW",IF(N409&gt;=0.9,"A",IF(N409&gt;=0.75,"B",IF(N409&gt;=0.5,"C","D"))))</x:f>
        <x:v>NEW</x:v>
      </x:c>
      <x:c r="P409" s="22"/>
      <x:c r="Q409" s="24"/>
      <x:c r="R409" s="24"/>
      <x:c r="S409" s="22"/>
    </x:row>
    <x:row r="410">
      <x:c r="A410" s="22"/>
      <x:c r="B410" s="22"/>
      <x:c r="C410" s="22"/>
      <x:c r="D410" s="22"/>
      <x:c r="E410" s="22"/>
      <x:c r="F410" s="22"/>
      <x:c r="G410" s="22"/>
      <x:c r="H410" s="22"/>
      <x:c r="I410" s="22"/>
      <x:c r="J410" s="22"/>
      <x:c r="K410" s="22"/>
      <x:c r="L410" s="22"/>
      <x:c r="M410" s="22"/>
      <x:c r="N410" s="23" t="str">
        <x:f>IF(SUM(L410:M410)=0,"",L410/SUM(L410:M410))</x:f>
      </x:c>
      <x:c r="O410" s="22" t="str">
        <x:f>IF(SUM(L410:M410)=0,"NEW",IF(N410&gt;=0.9,"A",IF(N410&gt;=0.75,"B",IF(N410&gt;=0.5,"C","D"))))</x:f>
        <x:v>NEW</x:v>
      </x:c>
      <x:c r="P410" s="22"/>
      <x:c r="Q410" s="24"/>
      <x:c r="R410" s="24"/>
      <x:c r="S410" s="22"/>
    </x:row>
    <x:row r="411">
      <x:c r="A411" s="22"/>
      <x:c r="B411" s="22"/>
      <x:c r="C411" s="22"/>
      <x:c r="D411" s="22"/>
      <x:c r="E411" s="22"/>
      <x:c r="F411" s="22"/>
      <x:c r="G411" s="22"/>
      <x:c r="H411" s="22"/>
      <x:c r="I411" s="22"/>
      <x:c r="J411" s="22"/>
      <x:c r="K411" s="22"/>
      <x:c r="L411" s="22"/>
      <x:c r="M411" s="22"/>
      <x:c r="N411" s="23" t="str">
        <x:f>IF(SUM(L411:M411)=0,"",L411/SUM(L411:M411))</x:f>
      </x:c>
      <x:c r="O411" s="22" t="str">
        <x:f>IF(SUM(L411:M411)=0,"NEW",IF(N411&gt;=0.9,"A",IF(N411&gt;=0.75,"B",IF(N411&gt;=0.5,"C","D"))))</x:f>
        <x:v>NEW</x:v>
      </x:c>
      <x:c r="P411" s="22"/>
      <x:c r="Q411" s="24"/>
      <x:c r="R411" s="24"/>
      <x:c r="S411" s="22"/>
    </x:row>
    <x:row r="412">
      <x:c r="A412" s="22"/>
      <x:c r="B412" s="22"/>
      <x:c r="C412" s="22"/>
      <x:c r="D412" s="22"/>
      <x:c r="E412" s="22"/>
      <x:c r="F412" s="22"/>
      <x:c r="G412" s="22"/>
      <x:c r="H412" s="22"/>
      <x:c r="I412" s="22"/>
      <x:c r="J412" s="22"/>
      <x:c r="K412" s="22"/>
      <x:c r="L412" s="22"/>
      <x:c r="M412" s="22"/>
      <x:c r="N412" s="23" t="str">
        <x:f>IF(SUM(L412:M412)=0,"",L412/SUM(L412:M412))</x:f>
      </x:c>
      <x:c r="O412" s="22" t="str">
        <x:f>IF(SUM(L412:M412)=0,"NEW",IF(N412&gt;=0.9,"A",IF(N412&gt;=0.75,"B",IF(N412&gt;=0.5,"C","D"))))</x:f>
        <x:v>NEW</x:v>
      </x:c>
      <x:c r="P412" s="22"/>
      <x:c r="Q412" s="24"/>
      <x:c r="R412" s="24"/>
      <x:c r="S412" s="22"/>
    </x:row>
    <x:row r="413">
      <x:c r="A413" s="22"/>
      <x:c r="B413" s="22"/>
      <x:c r="C413" s="22"/>
      <x:c r="D413" s="22"/>
      <x:c r="E413" s="22"/>
      <x:c r="F413" s="22"/>
      <x:c r="G413" s="22"/>
      <x:c r="H413" s="22"/>
      <x:c r="I413" s="22"/>
      <x:c r="J413" s="22"/>
      <x:c r="K413" s="22"/>
      <x:c r="L413" s="22"/>
      <x:c r="M413" s="22"/>
      <x:c r="N413" s="23" t="str">
        <x:f>IF(SUM(L413:M413)=0,"",L413/SUM(L413:M413))</x:f>
      </x:c>
      <x:c r="O413" s="22" t="str">
        <x:f>IF(SUM(L413:M413)=0,"NEW",IF(N413&gt;=0.9,"A",IF(N413&gt;=0.75,"B",IF(N413&gt;=0.5,"C","D"))))</x:f>
        <x:v>NEW</x:v>
      </x:c>
      <x:c r="P413" s="22"/>
      <x:c r="Q413" s="24"/>
      <x:c r="R413" s="24"/>
      <x:c r="S413" s="22"/>
    </x:row>
    <x:row r="414">
      <x:c r="A414" s="22"/>
      <x:c r="B414" s="22"/>
      <x:c r="C414" s="22"/>
      <x:c r="D414" s="22"/>
      <x:c r="E414" s="22"/>
      <x:c r="F414" s="22"/>
      <x:c r="G414" s="22"/>
      <x:c r="H414" s="22"/>
      <x:c r="I414" s="22"/>
      <x:c r="J414" s="22"/>
      <x:c r="K414" s="22"/>
      <x:c r="L414" s="22"/>
      <x:c r="M414" s="22"/>
      <x:c r="N414" s="23" t="str">
        <x:f>IF(SUM(L414:M414)=0,"",L414/SUM(L414:M414))</x:f>
      </x:c>
      <x:c r="O414" s="22" t="str">
        <x:f>IF(SUM(L414:M414)=0,"NEW",IF(N414&gt;=0.9,"A",IF(N414&gt;=0.75,"B",IF(N414&gt;=0.5,"C","D"))))</x:f>
        <x:v>NEW</x:v>
      </x:c>
      <x:c r="P414" s="22"/>
      <x:c r="Q414" s="24"/>
      <x:c r="R414" s="24"/>
      <x:c r="S414" s="22"/>
    </x:row>
    <x:row r="415">
      <x:c r="A415" s="22"/>
      <x:c r="B415" s="22"/>
      <x:c r="C415" s="22"/>
      <x:c r="D415" s="22"/>
      <x:c r="E415" s="22"/>
      <x:c r="F415" s="22"/>
      <x:c r="G415" s="22"/>
      <x:c r="H415" s="22"/>
      <x:c r="I415" s="22"/>
      <x:c r="J415" s="22"/>
      <x:c r="K415" s="22"/>
      <x:c r="L415" s="22"/>
      <x:c r="M415" s="22"/>
      <x:c r="N415" s="23" t="str">
        <x:f>IF(SUM(L415:M415)=0,"",L415/SUM(L415:M415))</x:f>
      </x:c>
      <x:c r="O415" s="22" t="str">
        <x:f>IF(SUM(L415:M415)=0,"NEW",IF(N415&gt;=0.9,"A",IF(N415&gt;=0.75,"B",IF(N415&gt;=0.5,"C","D"))))</x:f>
        <x:v>NEW</x:v>
      </x:c>
      <x:c r="P415" s="22"/>
      <x:c r="Q415" s="24"/>
      <x:c r="R415" s="24"/>
      <x:c r="S415" s="22"/>
    </x:row>
    <x:row r="416">
      <x:c r="A416" s="22"/>
      <x:c r="B416" s="22"/>
      <x:c r="C416" s="22"/>
      <x:c r="D416" s="22"/>
      <x:c r="E416" s="22"/>
      <x:c r="F416" s="22"/>
      <x:c r="G416" s="22"/>
      <x:c r="H416" s="22"/>
      <x:c r="I416" s="22"/>
      <x:c r="J416" s="22"/>
      <x:c r="K416" s="22"/>
      <x:c r="L416" s="22"/>
      <x:c r="M416" s="22"/>
      <x:c r="N416" s="23" t="str">
        <x:f>IF(SUM(L416:M416)=0,"",L416/SUM(L416:M416))</x:f>
      </x:c>
      <x:c r="O416" s="22" t="str">
        <x:f>IF(SUM(L416:M416)=0,"NEW",IF(N416&gt;=0.9,"A",IF(N416&gt;=0.75,"B",IF(N416&gt;=0.5,"C","D"))))</x:f>
        <x:v>NEW</x:v>
      </x:c>
      <x:c r="P416" s="22"/>
      <x:c r="Q416" s="24"/>
      <x:c r="R416" s="24"/>
      <x:c r="S416" s="22"/>
    </x:row>
    <x:row r="417">
      <x:c r="A417" s="22"/>
      <x:c r="B417" s="22"/>
      <x:c r="C417" s="22"/>
      <x:c r="D417" s="22"/>
      <x:c r="E417" s="22"/>
      <x:c r="F417" s="22"/>
      <x:c r="G417" s="22"/>
      <x:c r="H417" s="22"/>
      <x:c r="I417" s="22"/>
      <x:c r="J417" s="22"/>
      <x:c r="K417" s="22"/>
      <x:c r="L417" s="22"/>
      <x:c r="M417" s="22"/>
      <x:c r="N417" s="23" t="str">
        <x:f>IF(SUM(L417:M417)=0,"",L417/SUM(L417:M417))</x:f>
      </x:c>
      <x:c r="O417" s="22" t="str">
        <x:f>IF(SUM(L417:M417)=0,"NEW",IF(N417&gt;=0.9,"A",IF(N417&gt;=0.75,"B",IF(N417&gt;=0.5,"C","D"))))</x:f>
        <x:v>NEW</x:v>
      </x:c>
      <x:c r="P417" s="22"/>
      <x:c r="Q417" s="24"/>
      <x:c r="R417" s="24"/>
      <x:c r="S417" s="22"/>
    </x:row>
    <x:row r="418">
      <x:c r="A418" s="22"/>
      <x:c r="B418" s="22"/>
      <x:c r="C418" s="22"/>
      <x:c r="D418" s="22"/>
      <x:c r="E418" s="22"/>
      <x:c r="F418" s="22"/>
      <x:c r="G418" s="22"/>
      <x:c r="H418" s="22"/>
      <x:c r="I418" s="22"/>
      <x:c r="J418" s="22"/>
      <x:c r="K418" s="22"/>
      <x:c r="L418" s="22"/>
      <x:c r="M418" s="22"/>
      <x:c r="N418" s="23" t="str">
        <x:f>IF(SUM(L418:M418)=0,"",L418/SUM(L418:M418))</x:f>
      </x:c>
      <x:c r="O418" s="22" t="str">
        <x:f>IF(SUM(L418:M418)=0,"NEW",IF(N418&gt;=0.9,"A",IF(N418&gt;=0.75,"B",IF(N418&gt;=0.5,"C","D"))))</x:f>
        <x:v>NEW</x:v>
      </x:c>
      <x:c r="P418" s="22"/>
      <x:c r="Q418" s="24"/>
      <x:c r="R418" s="24"/>
      <x:c r="S418" s="22"/>
    </x:row>
    <x:row r="419">
      <x:c r="A419" s="22"/>
      <x:c r="B419" s="22"/>
      <x:c r="C419" s="22"/>
      <x:c r="D419" s="22"/>
      <x:c r="E419" s="22"/>
      <x:c r="F419" s="22"/>
      <x:c r="G419" s="22"/>
      <x:c r="H419" s="22"/>
      <x:c r="I419" s="22"/>
      <x:c r="J419" s="22"/>
      <x:c r="K419" s="22"/>
      <x:c r="L419" s="22"/>
      <x:c r="M419" s="22"/>
      <x:c r="N419" s="23" t="str">
        <x:f>IF(SUM(L419:M419)=0,"",L419/SUM(L419:M419))</x:f>
      </x:c>
      <x:c r="O419" s="22" t="str">
        <x:f>IF(SUM(L419:M419)=0,"NEW",IF(N419&gt;=0.9,"A",IF(N419&gt;=0.75,"B",IF(N419&gt;=0.5,"C","D"))))</x:f>
        <x:v>NEW</x:v>
      </x:c>
      <x:c r="P419" s="22"/>
      <x:c r="Q419" s="24"/>
      <x:c r="R419" s="24"/>
      <x:c r="S419" s="22"/>
    </x:row>
    <x:row r="420">
      <x:c r="A420" s="22"/>
      <x:c r="B420" s="22"/>
      <x:c r="C420" s="22"/>
      <x:c r="D420" s="22"/>
      <x:c r="E420" s="22"/>
      <x:c r="F420" s="22"/>
      <x:c r="G420" s="22"/>
      <x:c r="H420" s="22"/>
      <x:c r="I420" s="22"/>
      <x:c r="J420" s="22"/>
      <x:c r="K420" s="22"/>
      <x:c r="L420" s="22"/>
      <x:c r="M420" s="22"/>
      <x:c r="N420" s="23" t="str">
        <x:f>IF(SUM(L420:M420)=0,"",L420/SUM(L420:M420))</x:f>
      </x:c>
      <x:c r="O420" s="22" t="str">
        <x:f>IF(SUM(L420:M420)=0,"NEW",IF(N420&gt;=0.9,"A",IF(N420&gt;=0.75,"B",IF(N420&gt;=0.5,"C","D"))))</x:f>
        <x:v>NEW</x:v>
      </x:c>
      <x:c r="P420" s="22"/>
      <x:c r="Q420" s="24"/>
      <x:c r="R420" s="24"/>
      <x:c r="S420" s="22"/>
    </x:row>
    <x:row r="421">
      <x:c r="A421" s="22"/>
      <x:c r="B421" s="22"/>
      <x:c r="C421" s="22"/>
      <x:c r="D421" s="22"/>
      <x:c r="E421" s="22"/>
      <x:c r="F421" s="22"/>
      <x:c r="G421" s="22"/>
      <x:c r="H421" s="22"/>
      <x:c r="I421" s="22"/>
      <x:c r="J421" s="22"/>
      <x:c r="K421" s="22"/>
      <x:c r="L421" s="22"/>
      <x:c r="M421" s="22"/>
      <x:c r="N421" s="23" t="str">
        <x:f>IF(SUM(L421:M421)=0,"",L421/SUM(L421:M421))</x:f>
      </x:c>
      <x:c r="O421" s="22" t="str">
        <x:f>IF(SUM(L421:M421)=0,"NEW",IF(N421&gt;=0.9,"A",IF(N421&gt;=0.75,"B",IF(N421&gt;=0.5,"C","D"))))</x:f>
        <x:v>NEW</x:v>
      </x:c>
      <x:c r="P421" s="22"/>
      <x:c r="Q421" s="24"/>
      <x:c r="R421" s="24"/>
      <x:c r="S421" s="22"/>
    </x:row>
    <x:row r="422">
      <x:c r="A422" s="22"/>
      <x:c r="B422" s="22"/>
      <x:c r="C422" s="22"/>
      <x:c r="D422" s="22"/>
      <x:c r="E422" s="22"/>
      <x:c r="F422" s="22"/>
      <x:c r="G422" s="22"/>
      <x:c r="H422" s="22"/>
      <x:c r="I422" s="22"/>
      <x:c r="J422" s="22"/>
      <x:c r="K422" s="22"/>
      <x:c r="L422" s="22"/>
      <x:c r="M422" s="22"/>
      <x:c r="N422" s="23" t="str">
        <x:f>IF(SUM(L422:M422)=0,"",L422/SUM(L422:M422))</x:f>
      </x:c>
      <x:c r="O422" s="22" t="str">
        <x:f>IF(SUM(L422:M422)=0,"NEW",IF(N422&gt;=0.9,"A",IF(N422&gt;=0.75,"B",IF(N422&gt;=0.5,"C","D"))))</x:f>
        <x:v>NEW</x:v>
      </x:c>
      <x:c r="P422" s="22"/>
      <x:c r="Q422" s="24"/>
      <x:c r="R422" s="24"/>
      <x:c r="S422" s="22"/>
    </x:row>
    <x:row r="423">
      <x:c r="A423" s="22"/>
      <x:c r="B423" s="22"/>
      <x:c r="C423" s="22"/>
      <x:c r="D423" s="22"/>
      <x:c r="E423" s="22"/>
      <x:c r="F423" s="22"/>
      <x:c r="G423" s="22"/>
      <x:c r="H423" s="22"/>
      <x:c r="I423" s="22"/>
      <x:c r="J423" s="22"/>
      <x:c r="K423" s="22"/>
      <x:c r="L423" s="22"/>
      <x:c r="M423" s="22"/>
      <x:c r="N423" s="23" t="str">
        <x:f>IF(SUM(L423:M423)=0,"",L423/SUM(L423:M423))</x:f>
      </x:c>
      <x:c r="O423" s="22" t="str">
        <x:f>IF(SUM(L423:M423)=0,"NEW",IF(N423&gt;=0.9,"A",IF(N423&gt;=0.75,"B",IF(N423&gt;=0.5,"C","D"))))</x:f>
        <x:v>NEW</x:v>
      </x:c>
      <x:c r="P423" s="22"/>
      <x:c r="Q423" s="24"/>
      <x:c r="R423" s="24"/>
      <x:c r="S423" s="22"/>
    </x:row>
    <x:row r="424">
      <x:c r="A424" s="22"/>
      <x:c r="B424" s="22"/>
      <x:c r="C424" s="22"/>
      <x:c r="D424" s="22"/>
      <x:c r="E424" s="22"/>
      <x:c r="F424" s="22"/>
      <x:c r="G424" s="22"/>
      <x:c r="H424" s="22"/>
      <x:c r="I424" s="22"/>
      <x:c r="J424" s="22"/>
      <x:c r="K424" s="22"/>
      <x:c r="L424" s="22"/>
      <x:c r="M424" s="22"/>
      <x:c r="N424" s="23" t="str">
        <x:f>IF(SUM(L424:M424)=0,"",L424/SUM(L424:M424))</x:f>
      </x:c>
      <x:c r="O424" s="22" t="str">
        <x:f>IF(SUM(L424:M424)=0,"NEW",IF(N424&gt;=0.9,"A",IF(N424&gt;=0.75,"B",IF(N424&gt;=0.5,"C","D"))))</x:f>
        <x:v>NEW</x:v>
      </x:c>
      <x:c r="P424" s="22"/>
      <x:c r="Q424" s="24"/>
      <x:c r="R424" s="24"/>
      <x:c r="S424" s="22"/>
    </x:row>
    <x:row r="425">
      <x:c r="A425" s="22"/>
      <x:c r="B425" s="22"/>
      <x:c r="C425" s="22"/>
      <x:c r="D425" s="22"/>
      <x:c r="E425" s="22"/>
      <x:c r="F425" s="22"/>
      <x:c r="G425" s="22"/>
      <x:c r="H425" s="22"/>
      <x:c r="I425" s="22"/>
      <x:c r="J425" s="22"/>
      <x:c r="K425" s="22"/>
      <x:c r="L425" s="22"/>
      <x:c r="M425" s="22"/>
      <x:c r="N425" s="23" t="str">
        <x:f>IF(SUM(L425:M425)=0,"",L425/SUM(L425:M425))</x:f>
      </x:c>
      <x:c r="O425" s="22" t="str">
        <x:f>IF(SUM(L425:M425)=0,"NEW",IF(N425&gt;=0.9,"A",IF(N425&gt;=0.75,"B",IF(N425&gt;=0.5,"C","D"))))</x:f>
        <x:v>NEW</x:v>
      </x:c>
      <x:c r="P425" s="22"/>
      <x:c r="Q425" s="24"/>
      <x:c r="R425" s="24"/>
      <x:c r="S425" s="22"/>
    </x:row>
    <x:row r="426">
      <x:c r="A426" s="22"/>
      <x:c r="B426" s="22"/>
      <x:c r="C426" s="22"/>
      <x:c r="D426" s="22"/>
      <x:c r="E426" s="22"/>
      <x:c r="F426" s="22"/>
      <x:c r="G426" s="22"/>
      <x:c r="H426" s="22"/>
      <x:c r="I426" s="22"/>
      <x:c r="J426" s="22"/>
      <x:c r="K426" s="22"/>
      <x:c r="L426" s="22"/>
      <x:c r="M426" s="22"/>
      <x:c r="N426" s="23" t="str">
        <x:f>IF(SUM(L426:M426)=0,"",L426/SUM(L426:M426))</x:f>
      </x:c>
      <x:c r="O426" s="22" t="str">
        <x:f>IF(SUM(L426:M426)=0,"NEW",IF(N426&gt;=0.9,"A",IF(N426&gt;=0.75,"B",IF(N426&gt;=0.5,"C","D"))))</x:f>
        <x:v>NEW</x:v>
      </x:c>
      <x:c r="P426" s="22"/>
      <x:c r="Q426" s="24"/>
      <x:c r="R426" s="24"/>
      <x:c r="S426" s="22"/>
    </x:row>
    <x:row r="427">
      <x:c r="A427" s="22"/>
      <x:c r="B427" s="22"/>
      <x:c r="C427" s="22"/>
      <x:c r="D427" s="22"/>
      <x:c r="E427" s="22"/>
      <x:c r="F427" s="22"/>
      <x:c r="G427" s="22"/>
      <x:c r="H427" s="22"/>
      <x:c r="I427" s="22"/>
      <x:c r="J427" s="22"/>
      <x:c r="K427" s="22"/>
      <x:c r="L427" s="22"/>
      <x:c r="M427" s="22"/>
      <x:c r="N427" s="23" t="str">
        <x:f>IF(SUM(L427:M427)=0,"",L427/SUM(L427:M427))</x:f>
      </x:c>
      <x:c r="O427" s="22" t="str">
        <x:f>IF(SUM(L427:M427)=0,"NEW",IF(N427&gt;=0.9,"A",IF(N427&gt;=0.75,"B",IF(N427&gt;=0.5,"C","D"))))</x:f>
        <x:v>NEW</x:v>
      </x:c>
      <x:c r="P427" s="22"/>
      <x:c r="Q427" s="24"/>
      <x:c r="R427" s="24"/>
      <x:c r="S427" s="22"/>
    </x:row>
    <x:row r="428">
      <x:c r="A428" s="22"/>
      <x:c r="B428" s="22"/>
      <x:c r="C428" s="22"/>
      <x:c r="D428" s="22"/>
      <x:c r="E428" s="22"/>
      <x:c r="F428" s="22"/>
      <x:c r="G428" s="22"/>
      <x:c r="H428" s="22"/>
      <x:c r="I428" s="22"/>
      <x:c r="J428" s="22"/>
      <x:c r="K428" s="22"/>
      <x:c r="L428" s="22"/>
      <x:c r="M428" s="22"/>
      <x:c r="N428" s="23" t="str">
        <x:f>IF(SUM(L428:M428)=0,"",L428/SUM(L428:M428))</x:f>
      </x:c>
      <x:c r="O428" s="22" t="str">
        <x:f>IF(SUM(L428:M428)=0,"NEW",IF(N428&gt;=0.9,"A",IF(N428&gt;=0.75,"B",IF(N428&gt;=0.5,"C","D"))))</x:f>
        <x:v>NEW</x:v>
      </x:c>
      <x:c r="P428" s="22"/>
      <x:c r="Q428" s="24"/>
      <x:c r="R428" s="24"/>
      <x:c r="S428" s="22"/>
    </x:row>
    <x:row r="429">
      <x:c r="A429" s="22"/>
      <x:c r="B429" s="22"/>
      <x:c r="C429" s="22"/>
      <x:c r="D429" s="22"/>
      <x:c r="E429" s="22"/>
      <x:c r="F429" s="22"/>
      <x:c r="G429" s="22"/>
      <x:c r="H429" s="22"/>
      <x:c r="I429" s="22"/>
      <x:c r="J429" s="22"/>
      <x:c r="K429" s="22"/>
      <x:c r="L429" s="22"/>
      <x:c r="M429" s="22"/>
      <x:c r="N429" s="23" t="str">
        <x:f>IF(SUM(L429:M429)=0,"",L429/SUM(L429:M429))</x:f>
      </x:c>
      <x:c r="O429" s="22" t="str">
        <x:f>IF(SUM(L429:M429)=0,"NEW",IF(N429&gt;=0.9,"A",IF(N429&gt;=0.75,"B",IF(N429&gt;=0.5,"C","D"))))</x:f>
        <x:v>NEW</x:v>
      </x:c>
      <x:c r="P429" s="22"/>
      <x:c r="Q429" s="24"/>
      <x:c r="R429" s="24"/>
      <x:c r="S429" s="22"/>
    </x:row>
    <x:row r="430">
      <x:c r="A430" s="22"/>
      <x:c r="B430" s="22"/>
      <x:c r="C430" s="22"/>
      <x:c r="D430" s="22"/>
      <x:c r="E430" s="22"/>
      <x:c r="F430" s="22"/>
      <x:c r="G430" s="22"/>
      <x:c r="H430" s="22"/>
      <x:c r="I430" s="22"/>
      <x:c r="J430" s="22"/>
      <x:c r="K430" s="22"/>
      <x:c r="L430" s="22"/>
      <x:c r="M430" s="22"/>
      <x:c r="N430" s="23" t="str">
        <x:f>IF(SUM(L430:M430)=0,"",L430/SUM(L430:M430))</x:f>
      </x:c>
      <x:c r="O430" s="22" t="str">
        <x:f>IF(SUM(L430:M430)=0,"NEW",IF(N430&gt;=0.9,"A",IF(N430&gt;=0.75,"B",IF(N430&gt;=0.5,"C","D"))))</x:f>
        <x:v>NEW</x:v>
      </x:c>
      <x:c r="P430" s="22"/>
      <x:c r="Q430" s="24"/>
      <x:c r="R430" s="24"/>
      <x:c r="S430" s="22"/>
    </x:row>
    <x:row r="431">
      <x:c r="A431" s="22"/>
      <x:c r="B431" s="22"/>
      <x:c r="C431" s="22"/>
      <x:c r="D431" s="22"/>
      <x:c r="E431" s="22"/>
      <x:c r="F431" s="22"/>
      <x:c r="G431" s="22"/>
      <x:c r="H431" s="22"/>
      <x:c r="I431" s="22"/>
      <x:c r="J431" s="22"/>
      <x:c r="K431" s="22"/>
      <x:c r="L431" s="22"/>
      <x:c r="M431" s="22"/>
      <x:c r="N431" s="23" t="str">
        <x:f>IF(SUM(L431:M431)=0,"",L431/SUM(L431:M431))</x:f>
      </x:c>
      <x:c r="O431" s="22" t="str">
        <x:f>IF(SUM(L431:M431)=0,"NEW",IF(N431&gt;=0.9,"A",IF(N431&gt;=0.75,"B",IF(N431&gt;=0.5,"C","D"))))</x:f>
        <x:v>NEW</x:v>
      </x:c>
      <x:c r="P431" s="22"/>
      <x:c r="Q431" s="24"/>
      <x:c r="R431" s="24"/>
      <x:c r="S431" s="22"/>
    </x:row>
    <x:row r="432">
      <x:c r="A432" s="22"/>
      <x:c r="B432" s="22"/>
      <x:c r="C432" s="22"/>
      <x:c r="D432" s="22"/>
      <x:c r="E432" s="22"/>
      <x:c r="F432" s="22"/>
      <x:c r="G432" s="22"/>
      <x:c r="H432" s="22"/>
      <x:c r="I432" s="22"/>
      <x:c r="J432" s="22"/>
      <x:c r="K432" s="22"/>
      <x:c r="L432" s="22"/>
      <x:c r="M432" s="22"/>
      <x:c r="N432" s="23" t="str">
        <x:f>IF(SUM(L432:M432)=0,"",L432/SUM(L432:M432))</x:f>
      </x:c>
      <x:c r="O432" s="22" t="str">
        <x:f>IF(SUM(L432:M432)=0,"NEW",IF(N432&gt;=0.9,"A",IF(N432&gt;=0.75,"B",IF(N432&gt;=0.5,"C","D"))))</x:f>
        <x:v>NEW</x:v>
      </x:c>
      <x:c r="P432" s="22"/>
      <x:c r="Q432" s="24"/>
      <x:c r="R432" s="24"/>
      <x:c r="S432" s="22"/>
    </x:row>
    <x:row r="433">
      <x:c r="A433" s="22"/>
      <x:c r="B433" s="22"/>
      <x:c r="C433" s="22"/>
      <x:c r="D433" s="22"/>
      <x:c r="E433" s="22"/>
      <x:c r="F433" s="22"/>
      <x:c r="G433" s="22"/>
      <x:c r="H433" s="22"/>
      <x:c r="I433" s="22"/>
      <x:c r="J433" s="22"/>
      <x:c r="K433" s="22"/>
      <x:c r="L433" s="22"/>
      <x:c r="M433" s="22"/>
      <x:c r="N433" s="23" t="str">
        <x:f>IF(SUM(L433:M433)=0,"",L433/SUM(L433:M433))</x:f>
      </x:c>
      <x:c r="O433" s="22" t="str">
        <x:f>IF(SUM(L433:M433)=0,"NEW",IF(N433&gt;=0.9,"A",IF(N433&gt;=0.75,"B",IF(N433&gt;=0.5,"C","D"))))</x:f>
        <x:v>NEW</x:v>
      </x:c>
      <x:c r="P433" s="22"/>
      <x:c r="Q433" s="24"/>
      <x:c r="R433" s="24"/>
      <x:c r="S433" s="22"/>
    </x:row>
    <x:row r="434">
      <x:c r="A434" s="22"/>
      <x:c r="B434" s="22"/>
      <x:c r="C434" s="22"/>
      <x:c r="D434" s="22"/>
      <x:c r="E434" s="22"/>
      <x:c r="F434" s="22"/>
      <x:c r="G434" s="22"/>
      <x:c r="H434" s="22"/>
      <x:c r="I434" s="22"/>
      <x:c r="J434" s="22"/>
      <x:c r="K434" s="22"/>
      <x:c r="L434" s="22"/>
      <x:c r="M434" s="22"/>
      <x:c r="N434" s="23" t="str">
        <x:f>IF(SUM(L434:M434)=0,"",L434/SUM(L434:M434))</x:f>
      </x:c>
      <x:c r="O434" s="22" t="str">
        <x:f>IF(SUM(L434:M434)=0,"NEW",IF(N434&gt;=0.9,"A",IF(N434&gt;=0.75,"B",IF(N434&gt;=0.5,"C","D"))))</x:f>
        <x:v>NEW</x:v>
      </x:c>
      <x:c r="P434" s="22"/>
      <x:c r="Q434" s="24"/>
      <x:c r="R434" s="24"/>
      <x:c r="S434" s="22"/>
    </x:row>
    <x:row r="435">
      <x:c r="A435" s="22"/>
      <x:c r="B435" s="22"/>
      <x:c r="C435" s="22"/>
      <x:c r="D435" s="22"/>
      <x:c r="E435" s="22"/>
      <x:c r="F435" s="22"/>
      <x:c r="G435" s="22"/>
      <x:c r="H435" s="22"/>
      <x:c r="I435" s="22"/>
      <x:c r="J435" s="22"/>
      <x:c r="K435" s="22"/>
      <x:c r="L435" s="22"/>
      <x:c r="M435" s="22"/>
      <x:c r="N435" s="23" t="str">
        <x:f>IF(SUM(L435:M435)=0,"",L435/SUM(L435:M435))</x:f>
      </x:c>
      <x:c r="O435" s="22" t="str">
        <x:f>IF(SUM(L435:M435)=0,"NEW",IF(N435&gt;=0.9,"A",IF(N435&gt;=0.75,"B",IF(N435&gt;=0.5,"C","D"))))</x:f>
        <x:v>NEW</x:v>
      </x:c>
      <x:c r="P435" s="22"/>
      <x:c r="Q435" s="24"/>
      <x:c r="R435" s="24"/>
      <x:c r="S435" s="22"/>
    </x:row>
    <x:row r="436">
      <x:c r="A436" s="22"/>
      <x:c r="B436" s="22"/>
      <x:c r="C436" s="22"/>
      <x:c r="D436" s="22"/>
      <x:c r="E436" s="22"/>
      <x:c r="F436" s="22"/>
      <x:c r="G436" s="22"/>
      <x:c r="H436" s="22"/>
      <x:c r="I436" s="22"/>
      <x:c r="J436" s="22"/>
      <x:c r="K436" s="22"/>
      <x:c r="L436" s="22"/>
      <x:c r="M436" s="22"/>
      <x:c r="N436" s="23" t="str">
        <x:f>IF(SUM(L436:M436)=0,"",L436/SUM(L436:M436))</x:f>
      </x:c>
      <x:c r="O436" s="22" t="str">
        <x:f>IF(SUM(L436:M436)=0,"NEW",IF(N436&gt;=0.9,"A",IF(N436&gt;=0.75,"B",IF(N436&gt;=0.5,"C","D"))))</x:f>
        <x:v>NEW</x:v>
      </x:c>
      <x:c r="P436" s="22"/>
      <x:c r="Q436" s="24"/>
      <x:c r="R436" s="24"/>
      <x:c r="S436" s="22"/>
    </x:row>
    <x:row r="437">
      <x:c r="A437" s="22"/>
      <x:c r="B437" s="22"/>
      <x:c r="C437" s="22"/>
      <x:c r="D437" s="22"/>
      <x:c r="E437" s="22"/>
      <x:c r="F437" s="22"/>
      <x:c r="G437" s="22"/>
      <x:c r="H437" s="22"/>
      <x:c r="I437" s="22"/>
      <x:c r="J437" s="22"/>
      <x:c r="K437" s="22"/>
      <x:c r="L437" s="22"/>
      <x:c r="M437" s="22"/>
      <x:c r="N437" s="23" t="str">
        <x:f>IF(SUM(L437:M437)=0,"",L437/SUM(L437:M437))</x:f>
      </x:c>
      <x:c r="O437" s="22" t="str">
        <x:f>IF(SUM(L437:M437)=0,"NEW",IF(N437&gt;=0.9,"A",IF(N437&gt;=0.75,"B",IF(N437&gt;=0.5,"C","D"))))</x:f>
        <x:v>NEW</x:v>
      </x:c>
      <x:c r="P437" s="22"/>
      <x:c r="Q437" s="24"/>
      <x:c r="R437" s="24"/>
      <x:c r="S437" s="22"/>
    </x:row>
    <x:row r="438">
      <x:c r="A438" s="22"/>
      <x:c r="B438" s="22"/>
      <x:c r="C438" s="22"/>
      <x:c r="D438" s="22"/>
      <x:c r="E438" s="22"/>
      <x:c r="F438" s="22"/>
      <x:c r="G438" s="22"/>
      <x:c r="H438" s="22"/>
      <x:c r="I438" s="22"/>
      <x:c r="J438" s="22"/>
      <x:c r="K438" s="22"/>
      <x:c r="L438" s="22"/>
      <x:c r="M438" s="22"/>
      <x:c r="N438" s="23" t="str">
        <x:f>IF(SUM(L438:M438)=0,"",L438/SUM(L438:M438))</x:f>
      </x:c>
      <x:c r="O438" s="22" t="str">
        <x:f>IF(SUM(L438:M438)=0,"NEW",IF(N438&gt;=0.9,"A",IF(N438&gt;=0.75,"B",IF(N438&gt;=0.5,"C","D"))))</x:f>
        <x:v>NEW</x:v>
      </x:c>
      <x:c r="P438" s="22"/>
      <x:c r="Q438" s="24"/>
      <x:c r="R438" s="24"/>
      <x:c r="S438" s="22"/>
    </x:row>
    <x:row r="439">
      <x:c r="A439" s="22"/>
      <x:c r="B439" s="22"/>
      <x:c r="C439" s="22"/>
      <x:c r="D439" s="22"/>
      <x:c r="E439" s="22"/>
      <x:c r="F439" s="22"/>
      <x:c r="G439" s="22"/>
      <x:c r="H439" s="22"/>
      <x:c r="I439" s="22"/>
      <x:c r="J439" s="22"/>
      <x:c r="K439" s="22"/>
      <x:c r="L439" s="22"/>
      <x:c r="M439" s="22"/>
      <x:c r="N439" s="23" t="str">
        <x:f>IF(SUM(L439:M439)=0,"",L439/SUM(L439:M439))</x:f>
      </x:c>
      <x:c r="O439" s="22" t="str">
        <x:f>IF(SUM(L439:M439)=0,"NEW",IF(N439&gt;=0.9,"A",IF(N439&gt;=0.75,"B",IF(N439&gt;=0.5,"C","D"))))</x:f>
        <x:v>NEW</x:v>
      </x:c>
      <x:c r="P439" s="22"/>
      <x:c r="Q439" s="24"/>
      <x:c r="R439" s="24"/>
      <x:c r="S439" s="22"/>
    </x:row>
    <x:row r="440">
      <x:c r="A440" s="22"/>
      <x:c r="B440" s="22"/>
      <x:c r="C440" s="22"/>
      <x:c r="D440" s="22"/>
      <x:c r="E440" s="22"/>
      <x:c r="F440" s="22"/>
      <x:c r="G440" s="22"/>
      <x:c r="H440" s="22"/>
      <x:c r="I440" s="22"/>
      <x:c r="J440" s="22"/>
      <x:c r="K440" s="22"/>
      <x:c r="L440" s="22"/>
      <x:c r="M440" s="22"/>
      <x:c r="N440" s="23" t="str">
        <x:f>IF(SUM(L440:M440)=0,"",L440/SUM(L440:M440))</x:f>
      </x:c>
      <x:c r="O440" s="22" t="str">
        <x:f>IF(SUM(L440:M440)=0,"NEW",IF(N440&gt;=0.9,"A",IF(N440&gt;=0.75,"B",IF(N440&gt;=0.5,"C","D"))))</x:f>
        <x:v>NEW</x:v>
      </x:c>
      <x:c r="P440" s="22"/>
      <x:c r="Q440" s="24"/>
      <x:c r="R440" s="24"/>
      <x:c r="S440" s="22"/>
    </x:row>
    <x:row r="441">
      <x:c r="A441" s="22"/>
      <x:c r="B441" s="22"/>
      <x:c r="C441" s="22"/>
      <x:c r="D441" s="22"/>
      <x:c r="E441" s="22"/>
      <x:c r="F441" s="22"/>
      <x:c r="G441" s="22"/>
      <x:c r="H441" s="22"/>
      <x:c r="I441" s="22"/>
      <x:c r="J441" s="22"/>
      <x:c r="K441" s="22"/>
      <x:c r="L441" s="22"/>
      <x:c r="M441" s="22"/>
      <x:c r="N441" s="23" t="str">
        <x:f>IF(SUM(L441:M441)=0,"",L441/SUM(L441:M441))</x:f>
      </x:c>
      <x:c r="O441" s="22" t="str">
        <x:f>IF(SUM(L441:M441)=0,"NEW",IF(N441&gt;=0.9,"A",IF(N441&gt;=0.75,"B",IF(N441&gt;=0.5,"C","D"))))</x:f>
        <x:v>NEW</x:v>
      </x:c>
      <x:c r="P441" s="22"/>
      <x:c r="Q441" s="24"/>
      <x:c r="R441" s="24"/>
      <x:c r="S441" s="22"/>
    </x:row>
    <x:row r="442">
      <x:c r="A442" s="22"/>
      <x:c r="B442" s="22"/>
      <x:c r="C442" s="22"/>
      <x:c r="D442" s="22"/>
      <x:c r="E442" s="22"/>
      <x:c r="F442" s="22"/>
      <x:c r="G442" s="22"/>
      <x:c r="H442" s="22"/>
      <x:c r="I442" s="22"/>
      <x:c r="J442" s="22"/>
      <x:c r="K442" s="22"/>
      <x:c r="L442" s="22"/>
      <x:c r="M442" s="22"/>
      <x:c r="N442" s="23" t="str">
        <x:f>IF(SUM(L442:M442)=0,"",L442/SUM(L442:M442))</x:f>
      </x:c>
      <x:c r="O442" s="22" t="str">
        <x:f>IF(SUM(L442:M442)=0,"NEW",IF(N442&gt;=0.9,"A",IF(N442&gt;=0.75,"B",IF(N442&gt;=0.5,"C","D"))))</x:f>
        <x:v>NEW</x:v>
      </x:c>
      <x:c r="P442" s="22"/>
      <x:c r="Q442" s="24"/>
      <x:c r="R442" s="24"/>
      <x:c r="S442" s="22"/>
    </x:row>
    <x:row r="443">
      <x:c r="A443" s="22"/>
      <x:c r="B443" s="22"/>
      <x:c r="C443" s="22"/>
      <x:c r="D443" s="22"/>
      <x:c r="E443" s="22"/>
      <x:c r="F443" s="22"/>
      <x:c r="G443" s="22"/>
      <x:c r="H443" s="22"/>
      <x:c r="I443" s="22"/>
      <x:c r="J443" s="22"/>
      <x:c r="K443" s="22"/>
      <x:c r="L443" s="22"/>
      <x:c r="M443" s="22"/>
      <x:c r="N443" s="23" t="str">
        <x:f>IF(SUM(L443:M443)=0,"",L443/SUM(L443:M443))</x:f>
      </x:c>
      <x:c r="O443" s="22" t="str">
        <x:f>IF(SUM(L443:M443)=0,"NEW",IF(N443&gt;=0.9,"A",IF(N443&gt;=0.75,"B",IF(N443&gt;=0.5,"C","D"))))</x:f>
        <x:v>NEW</x:v>
      </x:c>
      <x:c r="P443" s="22"/>
      <x:c r="Q443" s="24"/>
      <x:c r="R443" s="24"/>
      <x:c r="S443" s="22"/>
    </x:row>
    <x:row r="444">
      <x:c r="A444" s="22"/>
      <x:c r="B444" s="22"/>
      <x:c r="C444" s="22"/>
      <x:c r="D444" s="22"/>
      <x:c r="E444" s="22"/>
      <x:c r="F444" s="22"/>
      <x:c r="G444" s="22"/>
      <x:c r="H444" s="22"/>
      <x:c r="I444" s="22"/>
      <x:c r="J444" s="22"/>
      <x:c r="K444" s="22"/>
      <x:c r="L444" s="22"/>
      <x:c r="M444" s="22"/>
      <x:c r="N444" s="23" t="str">
        <x:f>IF(SUM(L444:M444)=0,"",L444/SUM(L444:M444))</x:f>
      </x:c>
      <x:c r="O444" s="22" t="str">
        <x:f>IF(SUM(L444:M444)=0,"NEW",IF(N444&gt;=0.9,"A",IF(N444&gt;=0.75,"B",IF(N444&gt;=0.5,"C","D"))))</x:f>
        <x:v>NEW</x:v>
      </x:c>
      <x:c r="P444" s="22"/>
      <x:c r="Q444" s="24"/>
      <x:c r="R444" s="24"/>
      <x:c r="S444" s="22"/>
    </x:row>
    <x:row r="445">
      <x:c r="A445" s="22"/>
      <x:c r="B445" s="22"/>
      <x:c r="C445" s="22"/>
      <x:c r="D445" s="22"/>
      <x:c r="E445" s="22"/>
      <x:c r="F445" s="22"/>
      <x:c r="G445" s="22"/>
      <x:c r="H445" s="22"/>
      <x:c r="I445" s="22"/>
      <x:c r="J445" s="22"/>
      <x:c r="K445" s="22"/>
      <x:c r="L445" s="22"/>
      <x:c r="M445" s="22"/>
      <x:c r="N445" s="23" t="str">
        <x:f>IF(SUM(L445:M445)=0,"",L445/SUM(L445:M445))</x:f>
      </x:c>
      <x:c r="O445" s="22" t="str">
        <x:f>IF(SUM(L445:M445)=0,"NEW",IF(N445&gt;=0.9,"A",IF(N445&gt;=0.75,"B",IF(N445&gt;=0.5,"C","D"))))</x:f>
        <x:v>NEW</x:v>
      </x:c>
      <x:c r="P445" s="22"/>
      <x:c r="Q445" s="24"/>
      <x:c r="R445" s="24"/>
      <x:c r="S445" s="22"/>
    </x:row>
    <x:row r="446">
      <x:c r="A446" s="22"/>
      <x:c r="B446" s="22"/>
      <x:c r="C446" s="22"/>
      <x:c r="D446" s="22"/>
      <x:c r="E446" s="22"/>
      <x:c r="F446" s="22"/>
      <x:c r="G446" s="22"/>
      <x:c r="H446" s="22"/>
      <x:c r="I446" s="22"/>
      <x:c r="J446" s="22"/>
      <x:c r="K446" s="22"/>
      <x:c r="L446" s="22"/>
      <x:c r="M446" s="22"/>
      <x:c r="N446" s="23" t="str">
        <x:f>IF(SUM(L446:M446)=0,"",L446/SUM(L446:M446))</x:f>
      </x:c>
      <x:c r="O446" s="22" t="str">
        <x:f>IF(SUM(L446:M446)=0,"NEW",IF(N446&gt;=0.9,"A",IF(N446&gt;=0.75,"B",IF(N446&gt;=0.5,"C","D"))))</x:f>
        <x:v>NEW</x:v>
      </x:c>
      <x:c r="P446" s="22"/>
      <x:c r="Q446" s="24"/>
      <x:c r="R446" s="24"/>
      <x:c r="S446" s="22"/>
    </x:row>
    <x:row r="447">
      <x:c r="A447" s="22"/>
      <x:c r="B447" s="22"/>
      <x:c r="C447" s="22"/>
      <x:c r="D447" s="22"/>
      <x:c r="E447" s="22"/>
      <x:c r="F447" s="22"/>
      <x:c r="G447" s="22"/>
      <x:c r="H447" s="22"/>
      <x:c r="I447" s="22"/>
      <x:c r="J447" s="22"/>
      <x:c r="K447" s="22"/>
      <x:c r="L447" s="22"/>
      <x:c r="M447" s="22"/>
      <x:c r="N447" s="23" t="str">
        <x:f>IF(SUM(L447:M447)=0,"",L447/SUM(L447:M447))</x:f>
      </x:c>
      <x:c r="O447" s="22" t="str">
        <x:f>IF(SUM(L447:M447)=0,"NEW",IF(N447&gt;=0.9,"A",IF(N447&gt;=0.75,"B",IF(N447&gt;=0.5,"C","D"))))</x:f>
        <x:v>NEW</x:v>
      </x:c>
      <x:c r="P447" s="22"/>
      <x:c r="Q447" s="24"/>
      <x:c r="R447" s="24"/>
      <x:c r="S447" s="22"/>
    </x:row>
    <x:row r="448">
      <x:c r="A448" s="22"/>
      <x:c r="B448" s="22"/>
      <x:c r="C448" s="22"/>
      <x:c r="D448" s="22"/>
      <x:c r="E448" s="22"/>
      <x:c r="F448" s="22"/>
      <x:c r="G448" s="22"/>
      <x:c r="H448" s="22"/>
      <x:c r="I448" s="22"/>
      <x:c r="J448" s="22"/>
      <x:c r="K448" s="22"/>
      <x:c r="L448" s="22"/>
      <x:c r="M448" s="22"/>
      <x:c r="N448" s="23" t="str">
        <x:f>IF(SUM(L448:M448)=0,"",L448/SUM(L448:M448))</x:f>
      </x:c>
      <x:c r="O448" s="22" t="str">
        <x:f>IF(SUM(L448:M448)=0,"NEW",IF(N448&gt;=0.9,"A",IF(N448&gt;=0.75,"B",IF(N448&gt;=0.5,"C","D"))))</x:f>
        <x:v>NEW</x:v>
      </x:c>
      <x:c r="P448" s="22"/>
      <x:c r="Q448" s="24"/>
      <x:c r="R448" s="24"/>
      <x:c r="S448" s="22"/>
    </x:row>
    <x:row r="449">
      <x:c r="A449" s="22"/>
      <x:c r="B449" s="22"/>
      <x:c r="C449" s="22"/>
      <x:c r="D449" s="22"/>
      <x:c r="E449" s="22"/>
      <x:c r="F449" s="22"/>
      <x:c r="G449" s="22"/>
      <x:c r="H449" s="22"/>
      <x:c r="I449" s="22"/>
      <x:c r="J449" s="22"/>
      <x:c r="K449" s="22"/>
      <x:c r="L449" s="22"/>
      <x:c r="M449" s="22"/>
      <x:c r="N449" s="23" t="str">
        <x:f>IF(SUM(L449:M449)=0,"",L449/SUM(L449:M449))</x:f>
      </x:c>
      <x:c r="O449" s="22" t="str">
        <x:f>IF(SUM(L449:M449)=0,"NEW",IF(N449&gt;=0.9,"A",IF(N449&gt;=0.75,"B",IF(N449&gt;=0.5,"C","D"))))</x:f>
        <x:v>NEW</x:v>
      </x:c>
      <x:c r="P449" s="22"/>
      <x:c r="Q449" s="24"/>
      <x:c r="R449" s="24"/>
      <x:c r="S449" s="22"/>
    </x:row>
    <x:row r="450">
      <x:c r="A450" s="22"/>
      <x:c r="B450" s="22"/>
      <x:c r="C450" s="22"/>
      <x:c r="D450" s="22"/>
      <x:c r="E450" s="22"/>
      <x:c r="F450" s="22"/>
      <x:c r="G450" s="22"/>
      <x:c r="H450" s="22"/>
      <x:c r="I450" s="22"/>
      <x:c r="J450" s="22"/>
      <x:c r="K450" s="22"/>
      <x:c r="L450" s="22"/>
      <x:c r="M450" s="22"/>
      <x:c r="N450" s="23" t="str">
        <x:f>IF(SUM(L450:M450)=0,"",L450/SUM(L450:M450))</x:f>
      </x:c>
      <x:c r="O450" s="22" t="str">
        <x:f>IF(SUM(L450:M450)=0,"NEW",IF(N450&gt;=0.9,"A",IF(N450&gt;=0.75,"B",IF(N450&gt;=0.5,"C","D"))))</x:f>
        <x:v>NEW</x:v>
      </x:c>
      <x:c r="P450" s="22"/>
      <x:c r="Q450" s="24"/>
      <x:c r="R450" s="24"/>
      <x:c r="S450" s="22"/>
    </x:row>
    <x:row r="451">
      <x:c r="A451" s="22"/>
      <x:c r="B451" s="22"/>
      <x:c r="C451" s="22"/>
      <x:c r="D451" s="22"/>
      <x:c r="E451" s="22"/>
      <x:c r="F451" s="22"/>
      <x:c r="G451" s="22"/>
      <x:c r="H451" s="22"/>
      <x:c r="I451" s="22"/>
      <x:c r="J451" s="22"/>
      <x:c r="K451" s="22"/>
      <x:c r="L451" s="22"/>
      <x:c r="M451" s="22"/>
      <x:c r="N451" s="23" t="str">
        <x:f>IF(SUM(L451:M451)=0,"",L451/SUM(L451:M451))</x:f>
      </x:c>
      <x:c r="O451" s="22" t="str">
        <x:f>IF(SUM(L451:M451)=0,"NEW",IF(N451&gt;=0.9,"A",IF(N451&gt;=0.75,"B",IF(N451&gt;=0.5,"C","D"))))</x:f>
        <x:v>NEW</x:v>
      </x:c>
      <x:c r="P451" s="22"/>
      <x:c r="Q451" s="24"/>
      <x:c r="R451" s="24"/>
      <x:c r="S451" s="22"/>
    </x:row>
    <x:row r="452">
      <x:c r="A452" s="22"/>
      <x:c r="B452" s="22"/>
      <x:c r="C452" s="22"/>
      <x:c r="D452" s="22"/>
      <x:c r="E452" s="22"/>
      <x:c r="F452" s="22"/>
      <x:c r="G452" s="22"/>
      <x:c r="H452" s="22"/>
      <x:c r="I452" s="22"/>
      <x:c r="J452" s="22"/>
      <x:c r="K452" s="22"/>
      <x:c r="L452" s="22"/>
      <x:c r="M452" s="22"/>
      <x:c r="N452" s="23" t="str">
        <x:f>IF(SUM(L452:M452)=0,"",L452/SUM(L452:M452))</x:f>
      </x:c>
      <x:c r="O452" s="22" t="str">
        <x:f>IF(SUM(L452:M452)=0,"NEW",IF(N452&gt;=0.9,"A",IF(N452&gt;=0.75,"B",IF(N452&gt;=0.5,"C","D"))))</x:f>
        <x:v>NEW</x:v>
      </x:c>
      <x:c r="P452" s="22"/>
      <x:c r="Q452" s="24"/>
      <x:c r="R452" s="24"/>
      <x:c r="S452" s="22"/>
    </x:row>
    <x:row r="453">
      <x:c r="A453" s="22"/>
      <x:c r="B453" s="22"/>
      <x:c r="C453" s="22"/>
      <x:c r="D453" s="22"/>
      <x:c r="E453" s="22"/>
      <x:c r="F453" s="22"/>
      <x:c r="G453" s="22"/>
      <x:c r="H453" s="22"/>
      <x:c r="I453" s="22"/>
      <x:c r="J453" s="22"/>
      <x:c r="K453" s="22"/>
      <x:c r="L453" s="22"/>
      <x:c r="M453" s="22"/>
      <x:c r="N453" s="23" t="str">
        <x:f>IF(SUM(L453:M453)=0,"",L453/SUM(L453:M453))</x:f>
      </x:c>
      <x:c r="O453" s="22" t="str">
        <x:f>IF(SUM(L453:M453)=0,"NEW",IF(N453&gt;=0.9,"A",IF(N453&gt;=0.75,"B",IF(N453&gt;=0.5,"C","D"))))</x:f>
        <x:v>NEW</x:v>
      </x:c>
      <x:c r="P453" s="22"/>
      <x:c r="Q453" s="24"/>
      <x:c r="R453" s="24"/>
      <x:c r="S453" s="22"/>
    </x:row>
    <x:row r="454">
      <x:c r="A454" s="22"/>
      <x:c r="B454" s="22"/>
      <x:c r="C454" s="22"/>
      <x:c r="D454" s="22"/>
      <x:c r="E454" s="22"/>
      <x:c r="F454" s="22"/>
      <x:c r="G454" s="22"/>
      <x:c r="H454" s="22"/>
      <x:c r="I454" s="22"/>
      <x:c r="J454" s="22"/>
      <x:c r="K454" s="22"/>
      <x:c r="L454" s="22"/>
      <x:c r="M454" s="22"/>
      <x:c r="N454" s="23" t="str">
        <x:f>IF(SUM(L454:M454)=0,"",L454/SUM(L454:M454))</x:f>
      </x:c>
      <x:c r="O454" s="22" t="str">
        <x:f>IF(SUM(L454:M454)=0,"NEW",IF(N454&gt;=0.9,"A",IF(N454&gt;=0.75,"B",IF(N454&gt;=0.5,"C","D"))))</x:f>
        <x:v>NEW</x:v>
      </x:c>
      <x:c r="P454" s="22"/>
      <x:c r="Q454" s="24"/>
      <x:c r="R454" s="24"/>
      <x:c r="S454" s="22"/>
    </x:row>
    <x:row r="455">
      <x:c r="A455" s="22"/>
      <x:c r="B455" s="22"/>
      <x:c r="C455" s="22"/>
      <x:c r="D455" s="22"/>
      <x:c r="E455" s="22"/>
      <x:c r="F455" s="22"/>
      <x:c r="G455" s="22"/>
      <x:c r="H455" s="22"/>
      <x:c r="I455" s="22"/>
      <x:c r="J455" s="22"/>
      <x:c r="K455" s="22"/>
      <x:c r="L455" s="22"/>
      <x:c r="M455" s="22"/>
      <x:c r="N455" s="23" t="str">
        <x:f>IF(SUM(L455:M455)=0,"",L455/SUM(L455:M455))</x:f>
      </x:c>
      <x:c r="O455" s="22" t="str">
        <x:f>IF(SUM(L455:M455)=0,"NEW",IF(N455&gt;=0.9,"A",IF(N455&gt;=0.75,"B",IF(N455&gt;=0.5,"C","D"))))</x:f>
        <x:v>NEW</x:v>
      </x:c>
      <x:c r="P455" s="22"/>
      <x:c r="Q455" s="24"/>
      <x:c r="R455" s="24"/>
      <x:c r="S455" s="22"/>
    </x:row>
    <x:row r="456">
      <x:c r="A456" s="22"/>
      <x:c r="B456" s="22"/>
      <x:c r="C456" s="22"/>
      <x:c r="D456" s="22"/>
      <x:c r="E456" s="22"/>
      <x:c r="F456" s="22"/>
      <x:c r="G456" s="22"/>
      <x:c r="H456" s="22"/>
      <x:c r="I456" s="22"/>
      <x:c r="J456" s="22"/>
      <x:c r="K456" s="22"/>
      <x:c r="L456" s="22"/>
      <x:c r="M456" s="22"/>
      <x:c r="N456" s="23" t="str">
        <x:f>IF(SUM(L456:M456)=0,"",L456/SUM(L456:M456))</x:f>
      </x:c>
      <x:c r="O456" s="22" t="str">
        <x:f>IF(SUM(L456:M456)=0,"NEW",IF(N456&gt;=0.9,"A",IF(N456&gt;=0.75,"B",IF(N456&gt;=0.5,"C","D"))))</x:f>
        <x:v>NEW</x:v>
      </x:c>
      <x:c r="P456" s="22"/>
      <x:c r="Q456" s="24"/>
      <x:c r="R456" s="24"/>
      <x:c r="S456" s="22"/>
    </x:row>
    <x:row r="457">
      <x:c r="A457" s="22"/>
      <x:c r="B457" s="22"/>
      <x:c r="C457" s="22"/>
      <x:c r="D457" s="22"/>
      <x:c r="E457" s="22"/>
      <x:c r="F457" s="22"/>
      <x:c r="G457" s="22"/>
      <x:c r="H457" s="22"/>
      <x:c r="I457" s="22"/>
      <x:c r="J457" s="22"/>
      <x:c r="K457" s="22"/>
      <x:c r="L457" s="22"/>
      <x:c r="M457" s="22"/>
      <x:c r="N457" s="23" t="str">
        <x:f>IF(SUM(L457:M457)=0,"",L457/SUM(L457:M457))</x:f>
      </x:c>
      <x:c r="O457" s="22" t="str">
        <x:f>IF(SUM(L457:M457)=0,"NEW",IF(N457&gt;=0.9,"A",IF(N457&gt;=0.75,"B",IF(N457&gt;=0.5,"C","D"))))</x:f>
        <x:v>NEW</x:v>
      </x:c>
      <x:c r="P457" s="22"/>
      <x:c r="Q457" s="24"/>
      <x:c r="R457" s="24"/>
      <x:c r="S457" s="22"/>
    </x:row>
    <x:row r="458">
      <x:c r="A458" s="22"/>
      <x:c r="B458" s="22"/>
      <x:c r="C458" s="22"/>
      <x:c r="D458" s="22"/>
      <x:c r="E458" s="22"/>
      <x:c r="F458" s="22"/>
      <x:c r="G458" s="22"/>
      <x:c r="H458" s="22"/>
      <x:c r="I458" s="22"/>
      <x:c r="J458" s="22"/>
      <x:c r="K458" s="22"/>
      <x:c r="L458" s="22"/>
      <x:c r="M458" s="22"/>
      <x:c r="N458" s="23" t="str">
        <x:f>IF(SUM(L458:M458)=0,"",L458/SUM(L458:M458))</x:f>
      </x:c>
      <x:c r="O458" s="22" t="str">
        <x:f>IF(SUM(L458:M458)=0,"NEW",IF(N458&gt;=0.9,"A",IF(N458&gt;=0.75,"B",IF(N458&gt;=0.5,"C","D"))))</x:f>
        <x:v>NEW</x:v>
      </x:c>
      <x:c r="P458" s="22"/>
      <x:c r="Q458" s="24"/>
      <x:c r="R458" s="24"/>
      <x:c r="S458" s="22"/>
    </x:row>
    <x:row r="459">
      <x:c r="A459" s="22"/>
      <x:c r="B459" s="22"/>
      <x:c r="C459" s="22"/>
      <x:c r="D459" s="22"/>
      <x:c r="E459" s="22"/>
      <x:c r="F459" s="22"/>
      <x:c r="G459" s="22"/>
      <x:c r="H459" s="22"/>
      <x:c r="I459" s="22"/>
      <x:c r="J459" s="22"/>
      <x:c r="K459" s="22"/>
      <x:c r="L459" s="22"/>
      <x:c r="M459" s="22"/>
      <x:c r="N459" s="23" t="str">
        <x:f>IF(SUM(L459:M459)=0,"",L459/SUM(L459:M459))</x:f>
      </x:c>
      <x:c r="O459" s="22" t="str">
        <x:f>IF(SUM(L459:M459)=0,"NEW",IF(N459&gt;=0.9,"A",IF(N459&gt;=0.75,"B",IF(N459&gt;=0.5,"C","D"))))</x:f>
        <x:v>NEW</x:v>
      </x:c>
      <x:c r="P459" s="22"/>
      <x:c r="Q459" s="24"/>
      <x:c r="R459" s="24"/>
      <x:c r="S459" s="22"/>
    </x:row>
    <x:row r="460">
      <x:c r="A460" s="22"/>
      <x:c r="B460" s="22"/>
      <x:c r="C460" s="22"/>
      <x:c r="D460" s="22"/>
      <x:c r="E460" s="22"/>
      <x:c r="F460" s="22"/>
      <x:c r="G460" s="22"/>
      <x:c r="H460" s="22"/>
      <x:c r="I460" s="22"/>
      <x:c r="J460" s="22"/>
      <x:c r="K460" s="22"/>
      <x:c r="L460" s="22"/>
      <x:c r="M460" s="22"/>
      <x:c r="N460" s="23" t="str">
        <x:f>IF(SUM(L460:M460)=0,"",L460/SUM(L460:M460))</x:f>
      </x:c>
      <x:c r="O460" s="22" t="str">
        <x:f>IF(SUM(L460:M460)=0,"NEW",IF(N460&gt;=0.9,"A",IF(N460&gt;=0.75,"B",IF(N460&gt;=0.5,"C","D"))))</x:f>
        <x:v>NEW</x:v>
      </x:c>
      <x:c r="P460" s="22"/>
      <x:c r="Q460" s="24"/>
      <x:c r="R460" s="24"/>
      <x:c r="S460" s="22"/>
    </x:row>
    <x:row r="461">
      <x:c r="A461" s="22"/>
      <x:c r="B461" s="22"/>
      <x:c r="C461" s="22"/>
      <x:c r="D461" s="22"/>
      <x:c r="E461" s="22"/>
      <x:c r="F461" s="22"/>
      <x:c r="G461" s="22"/>
      <x:c r="H461" s="22"/>
      <x:c r="I461" s="22"/>
      <x:c r="J461" s="22"/>
      <x:c r="K461" s="22"/>
      <x:c r="L461" s="22"/>
      <x:c r="M461" s="22"/>
      <x:c r="N461" s="23" t="str">
        <x:f>IF(SUM(L461:M461)=0,"",L461/SUM(L461:M461))</x:f>
      </x:c>
      <x:c r="O461" s="22" t="str">
        <x:f>IF(SUM(L461:M461)=0,"NEW",IF(N461&gt;=0.9,"A",IF(N461&gt;=0.75,"B",IF(N461&gt;=0.5,"C","D"))))</x:f>
        <x:v>NEW</x:v>
      </x:c>
      <x:c r="P461" s="22"/>
      <x:c r="Q461" s="24"/>
      <x:c r="R461" s="24"/>
      <x:c r="S461" s="22"/>
    </x:row>
    <x:row r="462">
      <x:c r="A462" s="22"/>
      <x:c r="B462" s="22"/>
      <x:c r="C462" s="22"/>
      <x:c r="D462" s="22"/>
      <x:c r="E462" s="22"/>
      <x:c r="F462" s="22"/>
      <x:c r="G462" s="22"/>
      <x:c r="H462" s="22"/>
      <x:c r="I462" s="22"/>
      <x:c r="J462" s="22"/>
      <x:c r="K462" s="22"/>
      <x:c r="L462" s="22"/>
      <x:c r="M462" s="22"/>
      <x:c r="N462" s="23" t="str">
        <x:f>IF(SUM(L462:M462)=0,"",L462/SUM(L462:M462))</x:f>
      </x:c>
      <x:c r="O462" s="22" t="str">
        <x:f>IF(SUM(L462:M462)=0,"NEW",IF(N462&gt;=0.9,"A",IF(N462&gt;=0.75,"B",IF(N462&gt;=0.5,"C","D"))))</x:f>
        <x:v>NEW</x:v>
      </x:c>
      <x:c r="P462" s="22"/>
      <x:c r="Q462" s="24"/>
      <x:c r="R462" s="24"/>
      <x:c r="S462" s="22"/>
    </x:row>
    <x:row r="463">
      <x:c r="A463" s="22"/>
      <x:c r="B463" s="22"/>
      <x:c r="C463" s="22"/>
      <x:c r="D463" s="22"/>
      <x:c r="E463" s="22"/>
      <x:c r="F463" s="22"/>
      <x:c r="G463" s="22"/>
      <x:c r="H463" s="22"/>
      <x:c r="I463" s="22"/>
      <x:c r="J463" s="22"/>
      <x:c r="K463" s="22"/>
      <x:c r="L463" s="22"/>
      <x:c r="M463" s="22"/>
      <x:c r="N463" s="23" t="str">
        <x:f>IF(SUM(L463:M463)=0,"",L463/SUM(L463:M463))</x:f>
      </x:c>
      <x:c r="O463" s="22" t="str">
        <x:f>IF(SUM(L463:M463)=0,"NEW",IF(N463&gt;=0.9,"A",IF(N463&gt;=0.75,"B",IF(N463&gt;=0.5,"C","D"))))</x:f>
        <x:v>NEW</x:v>
      </x:c>
      <x:c r="P463" s="22"/>
      <x:c r="Q463" s="24"/>
      <x:c r="R463" s="24"/>
      <x:c r="S463" s="22"/>
    </x:row>
    <x:row r="464">
      <x:c r="A464" s="22"/>
      <x:c r="B464" s="22"/>
      <x:c r="C464" s="22"/>
      <x:c r="D464" s="22"/>
      <x:c r="E464" s="22"/>
      <x:c r="F464" s="22"/>
      <x:c r="G464" s="22"/>
      <x:c r="H464" s="22"/>
      <x:c r="I464" s="22"/>
      <x:c r="J464" s="22"/>
      <x:c r="K464" s="22"/>
      <x:c r="L464" s="22"/>
      <x:c r="M464" s="22"/>
      <x:c r="N464" s="23" t="str">
        <x:f>IF(SUM(L464:M464)=0,"",L464/SUM(L464:M464))</x:f>
      </x:c>
      <x:c r="O464" s="22" t="str">
        <x:f>IF(SUM(L464:M464)=0,"NEW",IF(N464&gt;=0.9,"A",IF(N464&gt;=0.75,"B",IF(N464&gt;=0.5,"C","D"))))</x:f>
        <x:v>NEW</x:v>
      </x:c>
      <x:c r="P464" s="22"/>
      <x:c r="Q464" s="24"/>
      <x:c r="R464" s="24"/>
      <x:c r="S464" s="22"/>
    </x:row>
    <x:row r="465">
      <x:c r="A465" s="22"/>
      <x:c r="B465" s="22"/>
      <x:c r="C465" s="22"/>
      <x:c r="D465" s="22"/>
      <x:c r="E465" s="22"/>
      <x:c r="F465" s="22"/>
      <x:c r="G465" s="22"/>
      <x:c r="H465" s="22"/>
      <x:c r="I465" s="22"/>
      <x:c r="J465" s="22"/>
      <x:c r="K465" s="22"/>
      <x:c r="L465" s="22"/>
      <x:c r="M465" s="22"/>
      <x:c r="N465" s="23" t="str">
        <x:f>IF(SUM(L465:M465)=0,"",L465/SUM(L465:M465))</x:f>
      </x:c>
      <x:c r="O465" s="22" t="str">
        <x:f>IF(SUM(L465:M465)=0,"NEW",IF(N465&gt;=0.9,"A",IF(N465&gt;=0.75,"B",IF(N465&gt;=0.5,"C","D"))))</x:f>
        <x:v>NEW</x:v>
      </x:c>
      <x:c r="P465" s="22"/>
      <x:c r="Q465" s="24"/>
      <x:c r="R465" s="24"/>
      <x:c r="S465" s="22"/>
    </x:row>
    <x:row r="466">
      <x:c r="A466" s="22"/>
      <x:c r="B466" s="22"/>
      <x:c r="C466" s="22"/>
      <x:c r="D466" s="22"/>
      <x:c r="E466" s="22"/>
      <x:c r="F466" s="22"/>
      <x:c r="G466" s="22"/>
      <x:c r="H466" s="22"/>
      <x:c r="I466" s="22"/>
      <x:c r="J466" s="22"/>
      <x:c r="K466" s="22"/>
      <x:c r="L466" s="22"/>
      <x:c r="M466" s="22"/>
      <x:c r="N466" s="23" t="str">
        <x:f>IF(SUM(L466:M466)=0,"",L466/SUM(L466:M466))</x:f>
      </x:c>
      <x:c r="O466" s="22" t="str">
        <x:f>IF(SUM(L466:M466)=0,"NEW",IF(N466&gt;=0.9,"A",IF(N466&gt;=0.75,"B",IF(N466&gt;=0.5,"C","D"))))</x:f>
        <x:v>NEW</x:v>
      </x:c>
      <x:c r="P466" s="22"/>
      <x:c r="Q466" s="24"/>
      <x:c r="R466" s="24"/>
      <x:c r="S466" s="22"/>
    </x:row>
    <x:row r="467">
      <x:c r="A467" s="22"/>
      <x:c r="B467" s="22"/>
      <x:c r="C467" s="22"/>
      <x:c r="D467" s="22"/>
      <x:c r="E467" s="22"/>
      <x:c r="F467" s="22"/>
      <x:c r="G467" s="22"/>
      <x:c r="H467" s="22"/>
      <x:c r="I467" s="22"/>
      <x:c r="J467" s="22"/>
      <x:c r="K467" s="22"/>
      <x:c r="L467" s="22"/>
      <x:c r="M467" s="22"/>
      <x:c r="N467" s="23" t="str">
        <x:f>IF(SUM(L467:M467)=0,"",L467/SUM(L467:M467))</x:f>
      </x:c>
      <x:c r="O467" s="22" t="str">
        <x:f>IF(SUM(L467:M467)=0,"NEW",IF(N467&gt;=0.9,"A",IF(N467&gt;=0.75,"B",IF(N467&gt;=0.5,"C","D"))))</x:f>
        <x:v>NEW</x:v>
      </x:c>
      <x:c r="P467" s="22"/>
      <x:c r="Q467" s="24"/>
      <x:c r="R467" s="24"/>
      <x:c r="S467" s="22"/>
    </x:row>
    <x:row r="468">
      <x:c r="A468" s="22"/>
      <x:c r="B468" s="22"/>
      <x:c r="C468" s="22"/>
      <x:c r="D468" s="22"/>
      <x:c r="E468" s="22"/>
      <x:c r="F468" s="22"/>
      <x:c r="G468" s="22"/>
      <x:c r="H468" s="22"/>
      <x:c r="I468" s="22"/>
      <x:c r="J468" s="22"/>
      <x:c r="K468" s="22"/>
      <x:c r="L468" s="22"/>
      <x:c r="M468" s="22"/>
      <x:c r="N468" s="23" t="str">
        <x:f>IF(SUM(L468:M468)=0,"",L468/SUM(L468:M468))</x:f>
      </x:c>
      <x:c r="O468" s="22" t="str">
        <x:f>IF(SUM(L468:M468)=0,"NEW",IF(N468&gt;=0.9,"A",IF(N468&gt;=0.75,"B",IF(N468&gt;=0.5,"C","D"))))</x:f>
        <x:v>NEW</x:v>
      </x:c>
      <x:c r="P468" s="22"/>
      <x:c r="Q468" s="24"/>
      <x:c r="R468" s="24"/>
      <x:c r="S468" s="22"/>
    </x:row>
    <x:row r="469">
      <x:c r="A469" s="22"/>
      <x:c r="B469" s="22"/>
      <x:c r="C469" s="22"/>
      <x:c r="D469" s="22"/>
      <x:c r="E469" s="22"/>
      <x:c r="F469" s="22"/>
      <x:c r="G469" s="22"/>
      <x:c r="H469" s="22"/>
      <x:c r="I469" s="22"/>
      <x:c r="J469" s="22"/>
      <x:c r="K469" s="22"/>
      <x:c r="L469" s="22"/>
      <x:c r="M469" s="22"/>
      <x:c r="N469" s="23" t="str">
        <x:f>IF(SUM(L469:M469)=0,"",L469/SUM(L469:M469))</x:f>
      </x:c>
      <x:c r="O469" s="22" t="str">
        <x:f>IF(SUM(L469:M469)=0,"NEW",IF(N469&gt;=0.9,"A",IF(N469&gt;=0.75,"B",IF(N469&gt;=0.5,"C","D"))))</x:f>
        <x:v>NEW</x:v>
      </x:c>
      <x:c r="P469" s="22"/>
      <x:c r="Q469" s="24"/>
      <x:c r="R469" s="24"/>
      <x:c r="S469" s="22"/>
    </x:row>
    <x:row r="470">
      <x:c r="A470" s="22"/>
      <x:c r="B470" s="22"/>
      <x:c r="C470" s="22"/>
      <x:c r="D470" s="22"/>
      <x:c r="E470" s="22"/>
      <x:c r="F470" s="22"/>
      <x:c r="G470" s="22"/>
      <x:c r="H470" s="22"/>
      <x:c r="I470" s="22"/>
      <x:c r="J470" s="22"/>
      <x:c r="K470" s="22"/>
      <x:c r="L470" s="22"/>
      <x:c r="M470" s="22"/>
      <x:c r="N470" s="23" t="str">
        <x:f>IF(SUM(L470:M470)=0,"",L470/SUM(L470:M470))</x:f>
      </x:c>
      <x:c r="O470" s="22" t="str">
        <x:f>IF(SUM(L470:M470)=0,"NEW",IF(N470&gt;=0.9,"A",IF(N470&gt;=0.75,"B",IF(N470&gt;=0.5,"C","D"))))</x:f>
        <x:v>NEW</x:v>
      </x:c>
      <x:c r="P470" s="22"/>
      <x:c r="Q470" s="24"/>
      <x:c r="R470" s="24"/>
      <x:c r="S470" s="22"/>
    </x:row>
    <x:row r="471">
      <x:c r="A471" s="22"/>
      <x:c r="B471" s="22"/>
      <x:c r="C471" s="22"/>
      <x:c r="D471" s="22"/>
      <x:c r="E471" s="22"/>
      <x:c r="F471" s="22"/>
      <x:c r="G471" s="22"/>
      <x:c r="H471" s="22"/>
      <x:c r="I471" s="22"/>
      <x:c r="J471" s="22"/>
      <x:c r="K471" s="22"/>
      <x:c r="L471" s="22"/>
      <x:c r="M471" s="22"/>
      <x:c r="N471" s="23" t="str">
        <x:f>IF(SUM(L471:M471)=0,"",L471/SUM(L471:M471))</x:f>
      </x:c>
      <x:c r="O471" s="22" t="str">
        <x:f>IF(SUM(L471:M471)=0,"NEW",IF(N471&gt;=0.9,"A",IF(N471&gt;=0.75,"B",IF(N471&gt;=0.5,"C","D"))))</x:f>
        <x:v>NEW</x:v>
      </x:c>
      <x:c r="P471" s="22"/>
      <x:c r="Q471" s="24"/>
      <x:c r="R471" s="24"/>
      <x:c r="S471" s="22"/>
    </x:row>
    <x:row r="472">
      <x:c r="A472" s="22"/>
      <x:c r="B472" s="22"/>
      <x:c r="C472" s="22"/>
      <x:c r="D472" s="22"/>
      <x:c r="E472" s="22"/>
      <x:c r="F472" s="22"/>
      <x:c r="G472" s="22"/>
      <x:c r="H472" s="22"/>
      <x:c r="I472" s="22"/>
      <x:c r="J472" s="22"/>
      <x:c r="K472" s="22"/>
      <x:c r="L472" s="22"/>
      <x:c r="M472" s="22"/>
      <x:c r="N472" s="23" t="str">
        <x:f>IF(SUM(L472:M472)=0,"",L472/SUM(L472:M472))</x:f>
      </x:c>
      <x:c r="O472" s="22" t="str">
        <x:f>IF(SUM(L472:M472)=0,"NEW",IF(N472&gt;=0.9,"A",IF(N472&gt;=0.75,"B",IF(N472&gt;=0.5,"C","D"))))</x:f>
        <x:v>NEW</x:v>
      </x:c>
      <x:c r="P472" s="22"/>
      <x:c r="Q472" s="24"/>
      <x:c r="R472" s="24"/>
      <x:c r="S472" s="22"/>
    </x:row>
    <x:row r="473">
      <x:c r="A473" s="22"/>
      <x:c r="B473" s="22"/>
      <x:c r="C473" s="22"/>
      <x:c r="D473" s="22"/>
      <x:c r="E473" s="22"/>
      <x:c r="F473" s="22"/>
      <x:c r="G473" s="22"/>
      <x:c r="H473" s="22"/>
      <x:c r="I473" s="22"/>
      <x:c r="J473" s="22"/>
      <x:c r="K473" s="22"/>
      <x:c r="L473" s="22"/>
      <x:c r="M473" s="22"/>
      <x:c r="N473" s="23" t="str">
        <x:f>IF(SUM(L473:M473)=0,"",L473/SUM(L473:M473))</x:f>
      </x:c>
      <x:c r="O473" s="22" t="str">
        <x:f>IF(SUM(L473:M473)=0,"NEW",IF(N473&gt;=0.9,"A",IF(N473&gt;=0.75,"B",IF(N473&gt;=0.5,"C","D"))))</x:f>
        <x:v>NEW</x:v>
      </x:c>
      <x:c r="P473" s="22"/>
      <x:c r="Q473" s="24"/>
      <x:c r="R473" s="24"/>
      <x:c r="S473" s="22"/>
    </x:row>
    <x:row r="474">
      <x:c r="A474" s="22"/>
      <x:c r="B474" s="22"/>
      <x:c r="C474" s="22"/>
      <x:c r="D474" s="22"/>
      <x:c r="E474" s="22"/>
      <x:c r="F474" s="22"/>
      <x:c r="G474" s="22"/>
      <x:c r="H474" s="22"/>
      <x:c r="I474" s="22"/>
      <x:c r="J474" s="22"/>
      <x:c r="K474" s="22"/>
      <x:c r="L474" s="22"/>
      <x:c r="M474" s="22"/>
      <x:c r="N474" s="23" t="str">
        <x:f>IF(SUM(L474:M474)=0,"",L474/SUM(L474:M474))</x:f>
      </x:c>
      <x:c r="O474" s="22" t="str">
        <x:f>IF(SUM(L474:M474)=0,"NEW",IF(N474&gt;=0.9,"A",IF(N474&gt;=0.75,"B",IF(N474&gt;=0.5,"C","D"))))</x:f>
        <x:v>NEW</x:v>
      </x:c>
      <x:c r="P474" s="22"/>
      <x:c r="Q474" s="24"/>
      <x:c r="R474" s="24"/>
      <x:c r="S474" s="22"/>
    </x:row>
    <x:row r="475">
      <x:c r="A475" s="22"/>
      <x:c r="B475" s="22"/>
      <x:c r="C475" s="22"/>
      <x:c r="D475" s="22"/>
      <x:c r="E475" s="22"/>
      <x:c r="F475" s="22"/>
      <x:c r="G475" s="22"/>
      <x:c r="H475" s="22"/>
      <x:c r="I475" s="22"/>
      <x:c r="J475" s="22"/>
      <x:c r="K475" s="22"/>
      <x:c r="L475" s="22"/>
      <x:c r="M475" s="22"/>
      <x:c r="N475" s="23" t="str">
        <x:f>IF(SUM(L475:M475)=0,"",L475/SUM(L475:M475))</x:f>
      </x:c>
      <x:c r="O475" s="22" t="str">
        <x:f>IF(SUM(L475:M475)=0,"NEW",IF(N475&gt;=0.9,"A",IF(N475&gt;=0.75,"B",IF(N475&gt;=0.5,"C","D"))))</x:f>
        <x:v>NEW</x:v>
      </x:c>
      <x:c r="P475" s="22"/>
      <x:c r="Q475" s="24"/>
      <x:c r="R475" s="24"/>
      <x:c r="S475" s="22"/>
    </x:row>
    <x:row r="476">
      <x:c r="A476" s="22"/>
      <x:c r="B476" s="22"/>
      <x:c r="C476" s="22"/>
      <x:c r="D476" s="22"/>
      <x:c r="E476" s="22"/>
      <x:c r="F476" s="22"/>
      <x:c r="G476" s="22"/>
      <x:c r="H476" s="22"/>
      <x:c r="I476" s="22"/>
      <x:c r="J476" s="22"/>
      <x:c r="K476" s="22"/>
      <x:c r="L476" s="22"/>
      <x:c r="M476" s="22"/>
      <x:c r="N476" s="23" t="str">
        <x:f>IF(SUM(L476:M476)=0,"",L476/SUM(L476:M476))</x:f>
      </x:c>
      <x:c r="O476" s="22" t="str">
        <x:f>IF(SUM(L476:M476)=0,"NEW",IF(N476&gt;=0.9,"A",IF(N476&gt;=0.75,"B",IF(N476&gt;=0.5,"C","D"))))</x:f>
        <x:v>NEW</x:v>
      </x:c>
      <x:c r="P476" s="22"/>
      <x:c r="Q476" s="24"/>
      <x:c r="R476" s="24"/>
      <x:c r="S476" s="22"/>
    </x:row>
    <x:row r="477">
      <x:c r="A477" s="22"/>
      <x:c r="B477" s="22"/>
      <x:c r="C477" s="22"/>
      <x:c r="D477" s="22"/>
      <x:c r="E477" s="22"/>
      <x:c r="F477" s="22"/>
      <x:c r="G477" s="22"/>
      <x:c r="H477" s="22"/>
      <x:c r="I477" s="22"/>
      <x:c r="J477" s="22"/>
      <x:c r="K477" s="22"/>
      <x:c r="L477" s="22"/>
      <x:c r="M477" s="22"/>
      <x:c r="N477" s="23" t="str">
        <x:f>IF(SUM(L477:M477)=0,"",L477/SUM(L477:M477))</x:f>
      </x:c>
      <x:c r="O477" s="22" t="str">
        <x:f>IF(SUM(L477:M477)=0,"NEW",IF(N477&gt;=0.9,"A",IF(N477&gt;=0.75,"B",IF(N477&gt;=0.5,"C","D"))))</x:f>
        <x:v>NEW</x:v>
      </x:c>
      <x:c r="P477" s="22"/>
      <x:c r="Q477" s="24"/>
      <x:c r="R477" s="24"/>
      <x:c r="S477" s="22"/>
    </x:row>
    <x:row r="478">
      <x:c r="A478" s="22"/>
      <x:c r="B478" s="22"/>
      <x:c r="C478" s="22"/>
      <x:c r="D478" s="22"/>
      <x:c r="E478" s="22"/>
      <x:c r="F478" s="22"/>
      <x:c r="G478" s="22"/>
      <x:c r="H478" s="22"/>
      <x:c r="I478" s="22"/>
      <x:c r="J478" s="22"/>
      <x:c r="K478" s="22"/>
      <x:c r="L478" s="22"/>
      <x:c r="M478" s="22"/>
      <x:c r="N478" s="23" t="str">
        <x:f>IF(SUM(L478:M478)=0,"",L478/SUM(L478:M478))</x:f>
      </x:c>
      <x:c r="O478" s="22" t="str">
        <x:f>IF(SUM(L478:M478)=0,"NEW",IF(N478&gt;=0.9,"A",IF(N478&gt;=0.75,"B",IF(N478&gt;=0.5,"C","D"))))</x:f>
        <x:v>NEW</x:v>
      </x:c>
      <x:c r="P478" s="22"/>
      <x:c r="Q478" s="24"/>
      <x:c r="R478" s="24"/>
      <x:c r="S478" s="22"/>
    </x:row>
    <x:row r="479">
      <x:c r="A479" s="22"/>
      <x:c r="B479" s="22"/>
      <x:c r="C479" s="22"/>
      <x:c r="D479" s="22"/>
      <x:c r="E479" s="22"/>
      <x:c r="F479" s="22"/>
      <x:c r="G479" s="22"/>
      <x:c r="H479" s="22"/>
      <x:c r="I479" s="22"/>
      <x:c r="J479" s="22"/>
      <x:c r="K479" s="22"/>
      <x:c r="L479" s="22"/>
      <x:c r="M479" s="22"/>
      <x:c r="N479" s="23" t="str">
        <x:f>IF(SUM(L479:M479)=0,"",L479/SUM(L479:M479))</x:f>
      </x:c>
      <x:c r="O479" s="22" t="str">
        <x:f>IF(SUM(L479:M479)=0,"NEW",IF(N479&gt;=0.9,"A",IF(N479&gt;=0.75,"B",IF(N479&gt;=0.5,"C","D"))))</x:f>
        <x:v>NEW</x:v>
      </x:c>
      <x:c r="P479" s="22"/>
      <x:c r="Q479" s="24"/>
      <x:c r="R479" s="24"/>
      <x:c r="S479" s="22"/>
    </x:row>
    <x:row r="480">
      <x:c r="A480" s="22"/>
      <x:c r="B480" s="22"/>
      <x:c r="C480" s="22"/>
      <x:c r="D480" s="22"/>
      <x:c r="E480" s="22"/>
      <x:c r="F480" s="22"/>
      <x:c r="G480" s="22"/>
      <x:c r="H480" s="22"/>
      <x:c r="I480" s="22"/>
      <x:c r="J480" s="22"/>
      <x:c r="K480" s="22"/>
      <x:c r="L480" s="22"/>
      <x:c r="M480" s="22"/>
      <x:c r="N480" s="23" t="str">
        <x:f>IF(SUM(L480:M480)=0,"",L480/SUM(L480:M480))</x:f>
      </x:c>
      <x:c r="O480" s="22" t="str">
        <x:f>IF(SUM(L480:M480)=0,"NEW",IF(N480&gt;=0.9,"A",IF(N480&gt;=0.75,"B",IF(N480&gt;=0.5,"C","D"))))</x:f>
        <x:v>NEW</x:v>
      </x:c>
      <x:c r="P480" s="22"/>
      <x:c r="Q480" s="24"/>
      <x:c r="R480" s="24"/>
      <x:c r="S480" s="22"/>
    </x:row>
    <x:row r="481">
      <x:c r="A481" s="22"/>
      <x:c r="B481" s="22"/>
      <x:c r="C481" s="22"/>
      <x:c r="D481" s="22"/>
      <x:c r="E481" s="22"/>
      <x:c r="F481" s="22"/>
      <x:c r="G481" s="22"/>
      <x:c r="H481" s="22"/>
      <x:c r="I481" s="22"/>
      <x:c r="J481" s="22"/>
      <x:c r="K481" s="22"/>
      <x:c r="L481" s="22"/>
      <x:c r="M481" s="22"/>
      <x:c r="N481" s="23" t="str">
        <x:f>IF(SUM(L481:M481)=0,"",L481/SUM(L481:M481))</x:f>
      </x:c>
      <x:c r="O481" s="22" t="str">
        <x:f>IF(SUM(L481:M481)=0,"NEW",IF(N481&gt;=0.9,"A",IF(N481&gt;=0.75,"B",IF(N481&gt;=0.5,"C","D"))))</x:f>
        <x:v>NEW</x:v>
      </x:c>
      <x:c r="P481" s="22"/>
      <x:c r="Q481" s="24"/>
      <x:c r="R481" s="24"/>
      <x:c r="S481" s="22"/>
    </x:row>
    <x:row r="482">
      <x:c r="A482" s="22"/>
      <x:c r="B482" s="22"/>
      <x:c r="C482" s="22"/>
      <x:c r="D482" s="22"/>
      <x:c r="E482" s="22"/>
      <x:c r="F482" s="22"/>
      <x:c r="G482" s="22"/>
      <x:c r="H482" s="22"/>
      <x:c r="I482" s="22"/>
      <x:c r="J482" s="22"/>
      <x:c r="K482" s="22"/>
      <x:c r="L482" s="22"/>
      <x:c r="M482" s="22"/>
      <x:c r="N482" s="23" t="str">
        <x:f>IF(SUM(L482:M482)=0,"",L482/SUM(L482:M482))</x:f>
      </x:c>
      <x:c r="O482" s="22" t="str">
        <x:f>IF(SUM(L482:M482)=0,"NEW",IF(N482&gt;=0.9,"A",IF(N482&gt;=0.75,"B",IF(N482&gt;=0.5,"C","D"))))</x:f>
        <x:v>NEW</x:v>
      </x:c>
      <x:c r="P482" s="22"/>
      <x:c r="Q482" s="24"/>
      <x:c r="R482" s="24"/>
      <x:c r="S482" s="22"/>
    </x:row>
    <x:row r="483">
      <x:c r="A483" s="22"/>
      <x:c r="B483" s="22"/>
      <x:c r="C483" s="22"/>
      <x:c r="D483" s="22"/>
      <x:c r="E483" s="22"/>
      <x:c r="F483" s="22"/>
      <x:c r="G483" s="22"/>
      <x:c r="H483" s="22"/>
      <x:c r="I483" s="22"/>
      <x:c r="J483" s="22"/>
      <x:c r="K483" s="22"/>
      <x:c r="L483" s="22"/>
      <x:c r="M483" s="22"/>
      <x:c r="N483" s="23" t="str">
        <x:f>IF(SUM(L483:M483)=0,"",L483/SUM(L483:M483))</x:f>
      </x:c>
      <x:c r="O483" s="22" t="str">
        <x:f>IF(SUM(L483:M483)=0,"NEW",IF(N483&gt;=0.9,"A",IF(N483&gt;=0.75,"B",IF(N483&gt;=0.5,"C","D"))))</x:f>
        <x:v>NEW</x:v>
      </x:c>
      <x:c r="P483" s="22"/>
      <x:c r="Q483" s="24"/>
      <x:c r="R483" s="24"/>
      <x:c r="S483" s="22"/>
    </x:row>
    <x:row r="484">
      <x:c r="A484" s="22"/>
      <x:c r="B484" s="22"/>
      <x:c r="C484" s="22"/>
      <x:c r="D484" s="22"/>
      <x:c r="E484" s="22"/>
      <x:c r="F484" s="22"/>
      <x:c r="G484" s="22"/>
      <x:c r="H484" s="22"/>
      <x:c r="I484" s="22"/>
      <x:c r="J484" s="22"/>
      <x:c r="K484" s="22"/>
      <x:c r="L484" s="22"/>
      <x:c r="M484" s="22"/>
      <x:c r="N484" s="23" t="str">
        <x:f>IF(SUM(L484:M484)=0,"",L484/SUM(L484:M484))</x:f>
      </x:c>
      <x:c r="O484" s="22" t="str">
        <x:f>IF(SUM(L484:M484)=0,"NEW",IF(N484&gt;=0.9,"A",IF(N484&gt;=0.75,"B",IF(N484&gt;=0.5,"C","D"))))</x:f>
        <x:v>NEW</x:v>
      </x:c>
      <x:c r="P484" s="22"/>
      <x:c r="Q484" s="24"/>
      <x:c r="R484" s="24"/>
      <x:c r="S484" s="22"/>
    </x:row>
    <x:row r="485">
      <x:c r="A485" s="22"/>
      <x:c r="B485" s="22"/>
      <x:c r="C485" s="22"/>
      <x:c r="D485" s="22"/>
      <x:c r="E485" s="22"/>
      <x:c r="F485" s="22"/>
      <x:c r="G485" s="22"/>
      <x:c r="H485" s="22"/>
      <x:c r="I485" s="22"/>
      <x:c r="J485" s="22"/>
      <x:c r="K485" s="22"/>
      <x:c r="L485" s="22"/>
      <x:c r="M485" s="22"/>
      <x:c r="N485" s="23" t="str">
        <x:f>IF(SUM(L485:M485)=0,"",L485/SUM(L485:M485))</x:f>
      </x:c>
      <x:c r="O485" s="22" t="str">
        <x:f>IF(SUM(L485:M485)=0,"NEW",IF(N485&gt;=0.9,"A",IF(N485&gt;=0.75,"B",IF(N485&gt;=0.5,"C","D"))))</x:f>
        <x:v>NEW</x:v>
      </x:c>
      <x:c r="P485" s="22"/>
      <x:c r="Q485" s="24"/>
      <x:c r="R485" s="24"/>
      <x:c r="S485" s="22"/>
    </x:row>
    <x:row r="486">
      <x:c r="A486" s="22"/>
      <x:c r="B486" s="22"/>
      <x:c r="C486" s="22"/>
      <x:c r="D486" s="22"/>
      <x:c r="E486" s="22"/>
      <x:c r="F486" s="22"/>
      <x:c r="G486" s="22"/>
      <x:c r="H486" s="22"/>
      <x:c r="I486" s="22"/>
      <x:c r="J486" s="22"/>
      <x:c r="K486" s="22"/>
      <x:c r="L486" s="22"/>
      <x:c r="M486" s="22"/>
      <x:c r="N486" s="23" t="str">
        <x:f>IF(SUM(L486:M486)=0,"",L486/SUM(L486:M486))</x:f>
      </x:c>
      <x:c r="O486" s="22" t="str">
        <x:f>IF(SUM(L486:M486)=0,"NEW",IF(N486&gt;=0.9,"A",IF(N486&gt;=0.75,"B",IF(N486&gt;=0.5,"C","D"))))</x:f>
        <x:v>NEW</x:v>
      </x:c>
      <x:c r="P486" s="22"/>
      <x:c r="Q486" s="24"/>
      <x:c r="R486" s="24"/>
      <x:c r="S486" s="22"/>
    </x:row>
    <x:row r="487">
      <x:c r="A487" s="22"/>
      <x:c r="B487" s="22"/>
      <x:c r="C487" s="22"/>
      <x:c r="D487" s="22"/>
      <x:c r="E487" s="22"/>
      <x:c r="F487" s="22"/>
      <x:c r="G487" s="22"/>
      <x:c r="H487" s="22"/>
      <x:c r="I487" s="22"/>
      <x:c r="J487" s="22"/>
      <x:c r="K487" s="22"/>
      <x:c r="L487" s="22"/>
      <x:c r="M487" s="22"/>
      <x:c r="N487" s="23" t="str">
        <x:f>IF(SUM(L487:M487)=0,"",L487/SUM(L487:M487))</x:f>
      </x:c>
      <x:c r="O487" s="22" t="str">
        <x:f>IF(SUM(L487:M487)=0,"NEW",IF(N487&gt;=0.9,"A",IF(N487&gt;=0.75,"B",IF(N487&gt;=0.5,"C","D"))))</x:f>
        <x:v>NEW</x:v>
      </x:c>
      <x:c r="P487" s="22"/>
      <x:c r="Q487" s="24"/>
      <x:c r="R487" s="24"/>
      <x:c r="S487" s="22"/>
    </x:row>
    <x:row r="488">
      <x:c r="A488" s="22"/>
      <x:c r="B488" s="22"/>
      <x:c r="C488" s="22"/>
      <x:c r="D488" s="22"/>
      <x:c r="E488" s="22"/>
      <x:c r="F488" s="22"/>
      <x:c r="G488" s="22"/>
      <x:c r="H488" s="22"/>
      <x:c r="I488" s="22"/>
      <x:c r="J488" s="22"/>
      <x:c r="K488" s="22"/>
      <x:c r="L488" s="22"/>
      <x:c r="M488" s="22"/>
      <x:c r="N488" s="23" t="str">
        <x:f>IF(SUM(L488:M488)=0,"",L488/SUM(L488:M488))</x:f>
      </x:c>
      <x:c r="O488" s="22" t="str">
        <x:f>IF(SUM(L488:M488)=0,"NEW",IF(N488&gt;=0.9,"A",IF(N488&gt;=0.75,"B",IF(N488&gt;=0.5,"C","D"))))</x:f>
        <x:v>NEW</x:v>
      </x:c>
      <x:c r="P488" s="22"/>
      <x:c r="Q488" s="24"/>
      <x:c r="R488" s="24"/>
      <x:c r="S488" s="22"/>
    </x:row>
    <x:row r="489">
      <x:c r="A489" s="22"/>
      <x:c r="B489" s="22"/>
      <x:c r="C489" s="22"/>
      <x:c r="D489" s="22"/>
      <x:c r="E489" s="22"/>
      <x:c r="F489" s="22"/>
      <x:c r="G489" s="22"/>
      <x:c r="H489" s="22"/>
      <x:c r="I489" s="22"/>
      <x:c r="J489" s="22"/>
      <x:c r="K489" s="22"/>
      <x:c r="L489" s="22"/>
      <x:c r="M489" s="22"/>
      <x:c r="N489" s="23" t="str">
        <x:f>IF(SUM(L489:M489)=0,"",L489/SUM(L489:M489))</x:f>
      </x:c>
      <x:c r="O489" s="22" t="str">
        <x:f>IF(SUM(L489:M489)=0,"NEW",IF(N489&gt;=0.9,"A",IF(N489&gt;=0.75,"B",IF(N489&gt;=0.5,"C","D"))))</x:f>
        <x:v>NEW</x:v>
      </x:c>
      <x:c r="P489" s="22"/>
      <x:c r="Q489" s="24"/>
      <x:c r="R489" s="24"/>
      <x:c r="S489" s="22"/>
    </x:row>
    <x:row r="490">
      <x:c r="A490" s="22"/>
      <x:c r="B490" s="22"/>
      <x:c r="C490" s="22"/>
      <x:c r="D490" s="22"/>
      <x:c r="E490" s="22"/>
      <x:c r="F490" s="22"/>
      <x:c r="G490" s="22"/>
      <x:c r="H490" s="22"/>
      <x:c r="I490" s="22"/>
      <x:c r="J490" s="22"/>
      <x:c r="K490" s="22"/>
      <x:c r="L490" s="22"/>
      <x:c r="M490" s="22"/>
      <x:c r="N490" s="23" t="str">
        <x:f>IF(SUM(L490:M490)=0,"",L490/SUM(L490:M490))</x:f>
      </x:c>
      <x:c r="O490" s="22" t="str">
        <x:f>IF(SUM(L490:M490)=0,"NEW",IF(N490&gt;=0.9,"A",IF(N490&gt;=0.75,"B",IF(N490&gt;=0.5,"C","D"))))</x:f>
        <x:v>NEW</x:v>
      </x:c>
      <x:c r="P490" s="22"/>
      <x:c r="Q490" s="24"/>
      <x:c r="R490" s="24"/>
      <x:c r="S490" s="22"/>
    </x:row>
    <x:row r="491">
      <x:c r="A491" s="22"/>
      <x:c r="B491" s="22"/>
      <x:c r="C491" s="22"/>
      <x:c r="D491" s="22"/>
      <x:c r="E491" s="22"/>
      <x:c r="F491" s="22"/>
      <x:c r="G491" s="22"/>
      <x:c r="H491" s="22"/>
      <x:c r="I491" s="22"/>
      <x:c r="J491" s="22"/>
      <x:c r="K491" s="22"/>
      <x:c r="L491" s="22"/>
      <x:c r="M491" s="22"/>
      <x:c r="N491" s="23" t="str">
        <x:f>IF(SUM(L491:M491)=0,"",L491/SUM(L491:M491))</x:f>
      </x:c>
      <x:c r="O491" s="22" t="str">
        <x:f>IF(SUM(L491:M491)=0,"NEW",IF(N491&gt;=0.9,"A",IF(N491&gt;=0.75,"B",IF(N491&gt;=0.5,"C","D"))))</x:f>
        <x:v>NEW</x:v>
      </x:c>
      <x:c r="P491" s="22"/>
      <x:c r="Q491" s="24"/>
      <x:c r="R491" s="24"/>
      <x:c r="S491" s="22"/>
    </x:row>
    <x:row r="492">
      <x:c r="A492" s="22"/>
      <x:c r="B492" s="22"/>
      <x:c r="C492" s="22"/>
      <x:c r="D492" s="22"/>
      <x:c r="E492" s="22"/>
      <x:c r="F492" s="22"/>
      <x:c r="G492" s="22"/>
      <x:c r="H492" s="22"/>
      <x:c r="I492" s="22"/>
      <x:c r="J492" s="22"/>
      <x:c r="K492" s="22"/>
      <x:c r="L492" s="22"/>
      <x:c r="M492" s="22"/>
      <x:c r="N492" s="23" t="str">
        <x:f>IF(SUM(L492:M492)=0,"",L492/SUM(L492:M492))</x:f>
      </x:c>
      <x:c r="O492" s="22" t="str">
        <x:f>IF(SUM(L492:M492)=0,"NEW",IF(N492&gt;=0.9,"A",IF(N492&gt;=0.75,"B",IF(N492&gt;=0.5,"C","D"))))</x:f>
        <x:v>NEW</x:v>
      </x:c>
      <x:c r="P492" s="22"/>
      <x:c r="Q492" s="24"/>
      <x:c r="R492" s="24"/>
      <x:c r="S492" s="22"/>
    </x:row>
    <x:row r="493">
      <x:c r="A493" s="22"/>
      <x:c r="B493" s="22"/>
      <x:c r="C493" s="22"/>
      <x:c r="D493" s="22"/>
      <x:c r="E493" s="22"/>
      <x:c r="F493" s="22"/>
      <x:c r="G493" s="22"/>
      <x:c r="H493" s="22"/>
      <x:c r="I493" s="22"/>
      <x:c r="J493" s="22"/>
      <x:c r="K493" s="22"/>
      <x:c r="L493" s="22"/>
      <x:c r="M493" s="22"/>
      <x:c r="N493" s="23" t="str">
        <x:f>IF(SUM(L493:M493)=0,"",L493/SUM(L493:M493))</x:f>
      </x:c>
      <x:c r="O493" s="22" t="str">
        <x:f>IF(SUM(L493:M493)=0,"NEW",IF(N493&gt;=0.9,"A",IF(N493&gt;=0.75,"B",IF(N493&gt;=0.5,"C","D"))))</x:f>
        <x:v>NEW</x:v>
      </x:c>
      <x:c r="P493" s="22"/>
      <x:c r="Q493" s="24"/>
      <x:c r="R493" s="24"/>
      <x:c r="S493" s="22"/>
    </x:row>
    <x:row r="494">
      <x:c r="A494" s="22"/>
      <x:c r="B494" s="22"/>
      <x:c r="C494" s="22"/>
      <x:c r="D494" s="22"/>
      <x:c r="E494" s="22"/>
      <x:c r="F494" s="22"/>
      <x:c r="G494" s="22"/>
      <x:c r="H494" s="22"/>
      <x:c r="I494" s="22"/>
      <x:c r="J494" s="22"/>
      <x:c r="K494" s="22"/>
      <x:c r="L494" s="22"/>
      <x:c r="M494" s="22"/>
      <x:c r="N494" s="23" t="str">
        <x:f>IF(SUM(L494:M494)=0,"",L494/SUM(L494:M494))</x:f>
      </x:c>
      <x:c r="O494" s="22" t="str">
        <x:f>IF(SUM(L494:M494)=0,"NEW",IF(N494&gt;=0.9,"A",IF(N494&gt;=0.75,"B",IF(N494&gt;=0.5,"C","D"))))</x:f>
        <x:v>NEW</x:v>
      </x:c>
      <x:c r="P494" s="22"/>
      <x:c r="Q494" s="24"/>
      <x:c r="R494" s="24"/>
      <x:c r="S494" s="22"/>
    </x:row>
    <x:row r="495">
      <x:c r="A495" s="22"/>
      <x:c r="B495" s="22"/>
      <x:c r="C495" s="22"/>
      <x:c r="D495" s="22"/>
      <x:c r="E495" s="22"/>
      <x:c r="F495" s="22"/>
      <x:c r="G495" s="22"/>
      <x:c r="H495" s="22"/>
      <x:c r="I495" s="22"/>
      <x:c r="J495" s="22"/>
      <x:c r="K495" s="22"/>
      <x:c r="L495" s="22"/>
      <x:c r="M495" s="22"/>
      <x:c r="N495" s="23" t="str">
        <x:f>IF(SUM(L495:M495)=0,"",L495/SUM(L495:M495))</x:f>
      </x:c>
      <x:c r="O495" s="22" t="str">
        <x:f>IF(SUM(L495:M495)=0,"NEW",IF(N495&gt;=0.9,"A",IF(N495&gt;=0.75,"B",IF(N495&gt;=0.5,"C","D"))))</x:f>
        <x:v>NEW</x:v>
      </x:c>
      <x:c r="P495" s="22"/>
      <x:c r="Q495" s="24"/>
      <x:c r="R495" s="24"/>
      <x:c r="S495" s="22"/>
    </x:row>
    <x:row r="496">
      <x:c r="A496" s="22"/>
      <x:c r="B496" s="22"/>
      <x:c r="C496" s="22"/>
      <x:c r="D496" s="22"/>
      <x:c r="E496" s="22"/>
      <x:c r="F496" s="22"/>
      <x:c r="G496" s="22"/>
      <x:c r="H496" s="22"/>
      <x:c r="I496" s="22"/>
      <x:c r="J496" s="22"/>
      <x:c r="K496" s="22"/>
      <x:c r="L496" s="22"/>
      <x:c r="M496" s="22"/>
      <x:c r="N496" s="23" t="str">
        <x:f>IF(SUM(L496:M496)=0,"",L496/SUM(L496:M496))</x:f>
      </x:c>
      <x:c r="O496" s="22" t="str">
        <x:f>IF(SUM(L496:M496)=0,"NEW",IF(N496&gt;=0.9,"A",IF(N496&gt;=0.75,"B",IF(N496&gt;=0.5,"C","D"))))</x:f>
        <x:v>NEW</x:v>
      </x:c>
      <x:c r="P496" s="22"/>
      <x:c r="Q496" s="24"/>
      <x:c r="R496" s="24"/>
      <x:c r="S496" s="22"/>
    </x:row>
    <x:row r="497">
      <x:c r="A497" s="22"/>
      <x:c r="B497" s="22"/>
      <x:c r="C497" s="22"/>
      <x:c r="D497" s="22"/>
      <x:c r="E497" s="22"/>
      <x:c r="F497" s="22"/>
      <x:c r="G497" s="22"/>
      <x:c r="H497" s="22"/>
      <x:c r="I497" s="22"/>
      <x:c r="J497" s="22"/>
      <x:c r="K497" s="22"/>
      <x:c r="L497" s="22"/>
      <x:c r="M497" s="22"/>
      <x:c r="N497" s="23" t="str">
        <x:f>IF(SUM(L497:M497)=0,"",L497/SUM(L497:M497))</x:f>
      </x:c>
      <x:c r="O497" s="22" t="str">
        <x:f>IF(SUM(L497:M497)=0,"NEW",IF(N497&gt;=0.9,"A",IF(N497&gt;=0.75,"B",IF(N497&gt;=0.5,"C","D"))))</x:f>
        <x:v>NEW</x:v>
      </x:c>
      <x:c r="P497" s="22"/>
      <x:c r="Q497" s="24"/>
      <x:c r="R497" s="24"/>
      <x:c r="S497" s="22"/>
    </x:row>
    <x:row r="498">
      <x:c r="A498" s="22"/>
      <x:c r="B498" s="22"/>
      <x:c r="C498" s="22"/>
      <x:c r="D498" s="22"/>
      <x:c r="E498" s="22"/>
      <x:c r="F498" s="22"/>
      <x:c r="G498" s="22"/>
      <x:c r="H498" s="22"/>
      <x:c r="I498" s="22"/>
      <x:c r="J498" s="22"/>
      <x:c r="K498" s="22"/>
      <x:c r="L498" s="22"/>
      <x:c r="M498" s="22"/>
      <x:c r="N498" s="23" t="str">
        <x:f>IF(SUM(L498:M498)=0,"",L498/SUM(L498:M498))</x:f>
      </x:c>
      <x:c r="O498" s="22" t="str">
        <x:f>IF(SUM(L498:M498)=0,"NEW",IF(N498&gt;=0.9,"A",IF(N498&gt;=0.75,"B",IF(N498&gt;=0.5,"C","D"))))</x:f>
        <x:v>NEW</x:v>
      </x:c>
      <x:c r="P498" s="22"/>
      <x:c r="Q498" s="24"/>
      <x:c r="R498" s="24"/>
      <x:c r="S498" s="22"/>
    </x:row>
    <x:row r="499">
      <x:c r="A499" s="22"/>
      <x:c r="B499" s="22"/>
      <x:c r="C499" s="22"/>
      <x:c r="D499" s="22"/>
      <x:c r="E499" s="22"/>
      <x:c r="F499" s="22"/>
      <x:c r="G499" s="22"/>
      <x:c r="H499" s="22"/>
      <x:c r="I499" s="22"/>
      <x:c r="J499" s="22"/>
      <x:c r="K499" s="22"/>
      <x:c r="L499" s="22"/>
      <x:c r="M499" s="22"/>
      <x:c r="N499" s="23" t="str">
        <x:f>IF(SUM(L499:M499)=0,"",L499/SUM(L499:M499))</x:f>
      </x:c>
      <x:c r="O499" s="22" t="str">
        <x:f>IF(SUM(L499:M499)=0,"NEW",IF(N499&gt;=0.9,"A",IF(N499&gt;=0.75,"B",IF(N499&gt;=0.5,"C","D"))))</x:f>
        <x:v>NEW</x:v>
      </x:c>
      <x:c r="P499" s="22"/>
      <x:c r="Q499" s="24"/>
      <x:c r="R499" s="24"/>
      <x:c r="S499" s="22"/>
    </x:row>
    <x:row r="500">
      <x:c r="A500" s="22"/>
      <x:c r="B500" s="22"/>
      <x:c r="C500" s="22"/>
      <x:c r="D500" s="22"/>
      <x:c r="E500" s="22"/>
      <x:c r="F500" s="22"/>
      <x:c r="G500" s="22"/>
      <x:c r="H500" s="22"/>
      <x:c r="I500" s="22"/>
      <x:c r="J500" s="22"/>
      <x:c r="K500" s="22"/>
      <x:c r="L500" s="22"/>
      <x:c r="M500" s="22"/>
      <x:c r="N500" s="23" t="str">
        <x:f>IF(SUM(L500:M500)=0,"",L500/SUM(L500:M500))</x:f>
      </x:c>
      <x:c r="O500" s="22" t="str">
        <x:f>IF(SUM(L500:M500)=0,"NEW",IF(N500&gt;=0.9,"A",IF(N500&gt;=0.75,"B",IF(N500&gt;=0.5,"C","D"))))</x:f>
        <x:v>NEW</x:v>
      </x:c>
      <x:c r="P500" s="22"/>
      <x:c r="Q500" s="24"/>
      <x:c r="R500" s="24"/>
      <x:c r="S500" s="22"/>
    </x:row>
    <x:row r="501">
      <x:c r="A501" s="22"/>
      <x:c r="B501" s="22"/>
      <x:c r="C501" s="22"/>
      <x:c r="D501" s="22"/>
      <x:c r="E501" s="22"/>
      <x:c r="F501" s="22"/>
      <x:c r="G501" s="22"/>
      <x:c r="H501" s="22"/>
      <x:c r="I501" s="22"/>
      <x:c r="J501" s="22"/>
      <x:c r="K501" s="22"/>
      <x:c r="L501" s="22"/>
      <x:c r="M501" s="22"/>
      <x:c r="N501" s="23" t="str">
        <x:f>IF(SUM(L501:M501)=0,"",L501/SUM(L501:M501))</x:f>
      </x:c>
      <x:c r="O501" s="22" t="str">
        <x:f>IF(SUM(L501:M501)=0,"NEW",IF(N501&gt;=0.9,"A",IF(N501&gt;=0.75,"B",IF(N501&gt;=0.5,"C","D"))))</x:f>
        <x:v>NEW</x:v>
      </x:c>
      <x:c r="P501" s="22"/>
      <x:c r="Q501" s="24"/>
      <x:c r="R501" s="24"/>
      <x:c r="S501" s="22"/>
    </x:row>
  </x:sheetData>
  <x:conditionalFormatting sqref="N2:N501">
    <x:cfRule type="colorScale" priority="1">
      <x:colorScale>
        <x:cfvo type="min"/>
        <x:cfvo type="percentile" val="50"/>
        <x:cfvo type="max"/>
        <x:color rgb="FFF8CBAD"/>
        <x:color rgb="FFFFE699"/>
        <x:color rgb="FFC6E0B4"/>
      </x:colorScale>
    </x:cfRule>
  </x:conditionalFormatting>
  <x:conditionalFormatting sqref="O2:O501">
    <x:cfRule type="expression" dxfId="0" priority="2">
      <x:formula>O2="D"</x:formula>
    </x:cfRule>
    <x:cfRule type="expression" dxfId="1" priority="3">
      <x:formula>O2="C"</x:formula>
    </x:cfRule>
    <x:cfRule type="expression" dxfId="2" priority="4">
      <x:formula>O2="B"</x:formula>
    </x:cfRule>
    <x:cfRule type="expression" dxfId="3" priority="5">
      <x:formula>O2="A"</x:formula>
    </x:cfRule>
    <x:cfRule type="expression" dxfId="4" priority="6">
      <x:formula>O2="NEW"</x:formula>
    </x:cfRule>
  </x:conditionalFormatting>
  <x:dataValidations count="4">
    <x:dataValidation type="list" sqref="B2:B501">
      <x:formula1>選択肢!$A$2:$A$9</x:formula1>
    </x:dataValidation>
    <x:dataValidation type="list" sqref="E2:E501">
      <x:formula1>選択肢!$B$2:$B$5</x:formula1>
    </x:dataValidation>
    <x:dataValidation type="list" sqref="J2:J501">
      <x:formula1>選択肢!$C$2:$C$5</x:formula1>
    </x:dataValidation>
    <x:dataValidation type="list" sqref="G2:G501">
      <x:formula1>選択肢!$D$2:$D$3</x:formula1>
    </x:dataValidation>
  </x:dataValidations>
  <x:pageMargins left="0.7" right="0.7" top="0.75" bottom="0.75" header="0.3" footer="0.3"/>
  <x:tableParts count="1">
    <x:tablePart xmlns:r="http://schemas.openxmlformats.org/officeDocument/2006/relationships" r:id="R06df5f3a776a4848"/>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0" t="str">
        <x:v>分野</x:v>
      </x:c>
      <x:c r="B1" s="30" t="str">
        <x:v>問題形式</x:v>
      </x:c>
      <x:c r="C1" s="30" t="str">
        <x:v>重要度</x:v>
      </x:c>
      <x:c r="D1" s="30" t="str">
        <x:v>正解候補</x:v>
      </x:c>
    </x:row>
    <x:row r="2">
      <x:c r="A2" t="str">
        <x:v>特許</x:v>
      </x:c>
      <x:c r="B2" t="str">
        <x:v>○×</x:v>
      </x:c>
      <x:c r="C2" t="str">
        <x:v>A</x:v>
      </x:c>
      <x:c r="D2" t="str">
        <x:v>○</x:v>
      </x:c>
    </x:row>
    <x:row r="3">
      <x:c r="A3" t="str">
        <x:v>実用新案</x:v>
      </x:c>
      <x:c r="B3" t="str">
        <x:v>空欄</x:v>
      </x:c>
      <x:c r="C3" t="str">
        <x:v>B</x:v>
      </x:c>
      <x:c r="D3" t="str">
        <x:v>×</x:v>
      </x:c>
    </x:row>
    <x:row r="4">
      <x:c r="A4" t="str">
        <x:v>特許・実用新案</x:v>
      </x:c>
      <x:c r="B4" t="str">
        <x:v>択一</x:v>
      </x:c>
      <x:c r="C4" t="str">
        <x:v>C</x:v>
      </x:c>
      <x:c r="D4" t="str"/>
    </x:row>
    <x:row r="5">
      <x:c r="A5" t="str">
        <x:v>意匠</x:v>
      </x:c>
      <x:c r="B5" t="str">
        <x:v>記述</x:v>
      </x:c>
      <x:c r="C5" t="str">
        <x:v>D</x:v>
      </x:c>
      <x:c r="D5" t="str"/>
    </x:row>
    <x:row r="6">
      <x:c r="A6" t="str">
        <x:v>商標</x:v>
      </x:c>
      <x:c r="B6" t="str"/>
      <x:c r="C6" t="str"/>
      <x:c r="D6" t="str"/>
    </x:row>
    <x:row r="7">
      <x:c r="A7" t="str">
        <x:v>条約</x:v>
      </x:c>
      <x:c r="B7" t="str"/>
      <x:c r="C7" t="str"/>
      <x:c r="D7" t="str"/>
    </x:row>
    <x:row r="8">
      <x:c r="A8" t="str">
        <x:v>著作権</x:v>
      </x:c>
      <x:c r="B8" t="str"/>
      <x:c r="C8" t="str"/>
      <x:c r="D8" t="str"/>
    </x:row>
    <x:row r="9">
      <x:c r="A9" t="str">
        <x:v>不正競争防止法</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60" hidden="0" customWidth="1"/>
  </x:cols>
  <x:sheetData>
    <x:row r="1" ht="30" customHeight="1">
      <x:c r="A1" s="40" t="str">
        <x:v>弁理士ミニテスト用 問題データベース</x:v>
      </x:c>
      <x:c r="B1" s="41" t="str"/>
    </x:row>
    <x:row r="2">
      <x:c r="A2" s="29" t="str">
        <x:v>基本ルール</x:v>
      </x:c>
      <x:c r="B2" t="str">
        <x:v>問題データシートは「1行＝1問」です。</x:v>
      </x:c>
    </x:row>
    <x:row r="3">
      <x:c r="A3" s="29" t="str">
        <x:v>問題ID</x:v>
      </x:c>
      <x:c r="B3" t="str">
        <x:v>Q0001、Q0002…のように一意の番号を付ける想定です。</x:v>
      </x:c>
    </x:row>
    <x:row r="4">
      <x:c r="A4" s="29" t="str">
        <x:v>正答率</x:v>
      </x:c>
      <x:c r="B4" t="str">
        <x:v>正答回数 ÷（正答回数＋誤答回数）で自動計算します。</x:v>
      </x:c>
    </x:row>
    <x:row r="5">
      <x:c r="A5" s="29" t="str">
        <x:v>現在ランク</x:v>
      </x:c>
      <x:c r="B5" t="str">
        <x:v>未回答=NEW、90%以上=A、75%以上=B、50%以上=C、50%未満=Dです。</x:v>
      </x:c>
    </x:row>
    <x:row r="6">
      <x:c r="A6" s="29" t="str">
        <x:v>成績管理</x:v>
      </x:c>
      <x:c r="B6" t="str">
        <x:v>正答回数・誤答回数・連続正解数・最終回答日などは将来アプリ側から更新できます。</x:v>
      </x:c>
    </x:row>
    <x:row r="7">
      <x:c r="A7" s="29" t="str">
        <x:v>おすすめ</x:v>
      </x:c>
      <x:c r="B7" t="str">
        <x:v>最初は100〜200問ほど入力し、後から問題を増やしていく運用が扱いやすいです。</x:v>
      </x:c>
    </x:row>
    <x:row r="8">
      <x:c r="A8" s="45" t="str">
        <x:v>今回の取込</x:v>
      </x:c>
      <x:c r="B8" s="41" t="str">
        <x:v>令和2年度短答（TAC過去問）PPTXから、スライド中の枝を217問の○×ミニテストに変換しました。</x:v>
      </x:c>
    </x:row>
    <x:row r="9">
      <x:c r="A9" s="45" t="str">
        <x:v>○×の意味</x:v>
      </x:c>
      <x:c r="B9" s="41" t="str">
        <x:v>○＝スライド解説が「正しい／適切」、×＝「誤り／不適切」と判定している枝です。</x:v>
      </x:c>
    </x:row>
    <x:row r="10">
      <x:c r="A10" s="45" t="str">
        <x:v>原問の条件</x:v>
      </x:c>
      <x:c r="B10" s="41" t="str">
        <x:v>元の設問文は「メモ」列に保存し、ただし書等の共通条件は必要に応じて問題文末尾にも付けています。</x:v>
      </x:c>
    </x:row>
    <x:row r="11">
      <x:c r="A11" s="45" t="str">
        <x:v>出典</x:v>
      </x:c>
      <x:c r="B11" s="41" t="str">
        <x:v>「出典」列に元の問題番号・枝・スライド番号を記録しています。解説はPPTXの記載を基に収録しています。</x:v>
      </x:c>
    </x:row>
    <x:row r="13">
      <x:c r="A13" s="54" t="str">
        <x:v>ミニテスト試作</x:v>
      </x:c>
      <x:c r="B13" s="41" t="str">
        <x:v>「ミニテスト試作20問」シートに、最初の20枝を“一問一知識”の短い○×問題へ変換しました。</x:v>
      </x:c>
    </x:row>
    <x:row r="14">
      <x:c r="A14" s="54" t="str">
        <x:v>解説ルール</x:v>
      </x:c>
      <x:c r="B14" s="41" t="str">
        <x:v>原則「正解 → 理由 → 条文 →（スライドに明示がある場合のみ）趣旨」の順です。</x:v>
      </x:c>
    </x:row>
    <x:row r="15">
      <x:c r="A15" s="54" t="str">
        <x:v>原文の保持</x:v>
      </x:c>
      <x:c r="B15" s="41" t="str">
        <x:v>元の長文問題・解説は「問題データ」シートに残してあり、試作シートの問題IDで対応付けできます。</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24" hidden="0" customWidth="1"/>
    <x:col min="4" max="4" width="28" hidden="0" customWidth="1"/>
    <x:col min="5" max="5" width="10" hidden="0" customWidth="1"/>
    <x:col min="6" max="6" width="44" hidden="0" customWidth="1"/>
    <x:col min="7" max="7" width="8" hidden="0" customWidth="1"/>
    <x:col min="8" max="8" width="52" hidden="0" customWidth="1"/>
    <x:col min="9" max="9" width="30" hidden="0" customWidth="1"/>
    <x:col min="10" max="10" width="10" hidden="0" customWidth="1"/>
    <x:col min="11" max="11" width="32" hidden="0" customWidth="1"/>
    <x:col min="12" max="12" width="10" hidden="0" customWidth="1"/>
    <x:col min="13" max="13" width="10" hidden="0" customWidth="1"/>
    <x:col min="14" max="14" width="10" hidden="0" customWidth="1"/>
    <x:col min="15" max="15" width="10" hidden="0" customWidth="1"/>
    <x:col min="16" max="16" width="10" hidden="0" customWidth="1"/>
    <x:col min="17" max="17" width="13" hidden="0" customWidth="1"/>
    <x:col min="18" max="18" width="13" hidden="0" customWidth="1"/>
    <x:col min="19" max="19" width="36" hidden="0" customWidth="1"/>
  </x:cols>
  <x:sheetData>
    <x:row r="1" ht="28" customHeight="1">
      <x:c r="A1" s="51" t="str">
        <x:v>問題ID</x:v>
      </x:c>
      <x:c r="B1" s="51" t="str">
        <x:v>分野</x:v>
      </x:c>
      <x:c r="C1" s="51" t="str">
        <x:v>単元</x:v>
      </x:c>
      <x:c r="D1" s="51" t="str">
        <x:v>論点</x:v>
      </x:c>
      <x:c r="E1" s="51" t="str">
        <x:v>問題形式</x:v>
      </x:c>
      <x:c r="F1" s="51" t="str">
        <x:v>問題文</x:v>
      </x:c>
      <x:c r="G1" s="51" t="str">
        <x:v>正解</x:v>
      </x:c>
      <x:c r="H1" s="51" t="str">
        <x:v>解説</x:v>
      </x:c>
      <x:c r="I1" s="51" t="str">
        <x:v>条文</x:v>
      </x:c>
      <x:c r="J1" s="51" t="str">
        <x:v>重要度</x:v>
      </x:c>
      <x:c r="K1" s="51" t="str">
        <x:v>出典</x:v>
      </x:c>
      <x:c r="L1" s="51" t="str">
        <x:v>正答回数</x:v>
      </x:c>
      <x:c r="M1" s="51" t="str">
        <x:v>誤答回数</x:v>
      </x:c>
      <x:c r="N1" s="51" t="str">
        <x:v>正答率</x:v>
      </x:c>
      <x:c r="O1" s="51" t="str">
        <x:v>現在ランク</x:v>
      </x:c>
      <x:c r="P1" s="51" t="str">
        <x:v>連続正解数</x:v>
      </x:c>
      <x:c r="Q1" s="51" t="str">
        <x:v>最終回答日</x:v>
      </x:c>
      <x:c r="R1" s="51" t="str">
        <x:v>次回出題日</x:v>
      </x:c>
      <x:c r="S1" s="51" t="str">
        <x:v>メモ</x:v>
      </x:c>
    </x:row>
    <x:row r="2">
      <x:c r="A2" s="22" t="str">
        <x:v>R02-PU01-イ</x:v>
      </x:c>
      <x:c r="B2" s="22" t="str">
        <x:v>特許・実用新案</x:v>
      </x:c>
      <x:c r="C2" s="22" t="str">
        <x:v>新規性喪失の例外・国内優先権</x:v>
      </x:c>
      <x:c r="D2" s="22" t="str">
        <x:v>30条適用済み国内出願を基礎とする国際出願</x:v>
      </x:c>
      <x:c r="E2" s="22" t="str">
        <x:v>○×</x:v>
      </x:c>
      <x:c r="F2" s="22" t="str">
        <x:v>30条の適用を受けた国内出願を基礎に国内優先権を主張する国際特許出願も、国内移行後の所定手続により新規性喪失の例外の適用を受けられる。</x:v>
      </x:c>
      <x:c r="G2" s="22" t="str">
        <x:v>○</x:v>
      </x:c>
      <x:c r="H2" s="22" t="str">
        <x:v>正解：○　日本では先の国内出願に基づく優先権は国内優先権として扱われ、先の出願で30条3項の手続をしていれば、国内移行後に所定の書面等を提出して30条の適用を受けられるからである（特41条2項、184条の14）。</x:v>
      </x:c>
      <x:c r="I2" s="22" t="str">
        <x:v>特41条2項、特184条の14、特30条2項・3項、PCT8条(2)(b)</x:v>
      </x:c>
      <x:c r="J2" s="22" t="str"/>
      <x:c r="K2" s="22" t="str">
        <x:v>令和2年度短答（TAC過去問）／【特許・実用新案】1 （イ）／スライド2-3</x:v>
      </x:c>
      <x:c r="L2" s="22" t="n">
        <x:v>0</x:v>
      </x:c>
      <x:c r="M2" s="22" t="n">
        <x:v>0</x:v>
      </x:c>
      <x:c r="N2" s="23" t="str">
        <x:f>IF(SUM(L2:M2)=0,"",L2/SUM(L2:M2))</x:f>
      </x:c>
      <x:c r="O2" s="22" t="str">
        <x:f>IF(SUM(L2:M2)=0,"NEW",IF(N2&gt;=0.9,"A",IF(N2&gt;=0.75,"B",IF(N2&gt;=0.5,"C","D"))))</x:f>
        <x:v>NEW</x:v>
      </x:c>
      <x:c r="P2" s="22" t="n">
        <x:v>0</x:v>
      </x:c>
      <x:c r="Q2" s="24"/>
      <x:c r="R2" s="24"/>
      <x:c r="S2" s="22" t="str">
        <x:v>原文は「問題データ」シートの同一問題ID（R02-PU01-イ）を参照。</x:v>
      </x:c>
    </x:row>
    <x:row r="3">
      <x:c r="A3" s="22" t="str">
        <x:v>R02-PU01-ロ</x:v>
      </x:c>
      <x:c r="B3" s="22" t="str">
        <x:v>特許・実用新案</x:v>
      </x:c>
      <x:c r="C3" s="22" t="str">
        <x:v>外国語書面出願</x:v>
      </x:c>
      <x:c r="D3" s="22" t="str">
        <x:v>翻訳文未提出の回復要件</x:v>
      </x:c>
      <x:c r="E3" s="22" t="str">
        <x:v>○×</x:v>
      </x:c>
      <x:c r="F3" s="22" t="str">
        <x:v>外国語書面出願の翻訳文提出期間を徒過した場合の回復には、「その責めに帰することができない理由」が必要である。</x:v>
      </x:c>
      <x:c r="G3" s="22" t="str">
        <x:v>×</x:v>
      </x:c>
      <x:c r="H3" s="22" t="str">
        <x:v>正解：×　回復要件は「不責理由」ではなく、通知後の提出期間の徒過が故意によるものでないことである（特36条の2第6項）。</x:v>
      </x:c>
      <x:c r="I3" s="22" t="str">
        <x:v>特36条の2第6項</x:v>
      </x:c>
      <x:c r="J3" s="22" t="str"/>
      <x:c r="K3" s="22" t="str">
        <x:v>令和2年度短答（TAC過去問）／【特許・実用新案】1 （ロ）／スライド5-6</x:v>
      </x:c>
      <x:c r="L3" s="22" t="n">
        <x:v>0</x:v>
      </x:c>
      <x:c r="M3" s="22" t="n">
        <x:v>0</x:v>
      </x:c>
      <x:c r="N3" s="23" t="str">
        <x:f>IF(SUM(L3:M3)=0,"",L3/SUM(L3:M3))</x:f>
      </x:c>
      <x:c r="O3" s="22" t="str">
        <x:f>IF(SUM(L3:M3)=0,"NEW",IF(N3&gt;=0.9,"A",IF(N3&gt;=0.75,"B",IF(N3&gt;=0.5,"C","D"))))</x:f>
        <x:v>NEW</x:v>
      </x:c>
      <x:c r="P3" s="22" t="n">
        <x:v>0</x:v>
      </x:c>
      <x:c r="Q3" s="24"/>
      <x:c r="R3" s="24"/>
      <x:c r="S3" s="22" t="str">
        <x:v>原文は「問題データ」シートの同一問題ID（R02-PU01-ロ）を参照。</x:v>
      </x:c>
    </x:row>
    <x:row r="4">
      <x:c r="A4" s="22" t="str">
        <x:v>R02-PU01-ハ</x:v>
      </x:c>
      <x:c r="B4" s="22" t="str">
        <x:v>特許・実用新案</x:v>
      </x:c>
      <x:c r="C4" s="22" t="str">
        <x:v>外国語書面出願</x:v>
      </x:c>
      <x:c r="D4" s="22" t="str">
        <x:v>誤訳訂正書に含まれる目的外補正</x:v>
      </x:c>
      <x:c r="E4" s="22" t="str">
        <x:v>○×</x:v>
      </x:c>
      <x:c r="F4" s="22" t="str">
        <x:v>誤訳訂正書に誤訳訂正を目的としない補正が含まれること自体は、拒絶理由となる。</x:v>
      </x:c>
      <x:c r="G4" s="22" t="str">
        <x:v>×</x:v>
      </x:c>
      <x:c r="H4" s="22" t="str">
        <x:v>正解：×　誤訳訂正を目的としない補正が誤訳訂正書に含まれていても、そのこと自体は拒絶理由に列挙されていないからである（特17条の2第2項、49条）。</x:v>
      </x:c>
      <x:c r="I4" s="22" t="str">
        <x:v>特17条の2第2項、特49条</x:v>
      </x:c>
      <x:c r="J4" s="22" t="str"/>
      <x:c r="K4" s="22" t="str">
        <x:v>令和2年度短答（TAC過去問）／【特許・実用新案】1 （ハ）／スライド8</x:v>
      </x:c>
      <x:c r="L4" s="22" t="n">
        <x:v>0</x:v>
      </x:c>
      <x:c r="M4" s="22" t="n">
        <x:v>0</x:v>
      </x:c>
      <x:c r="N4" s="23" t="str">
        <x:f>IF(SUM(L4:M4)=0,"",L4/SUM(L4:M4))</x:f>
      </x:c>
      <x:c r="O4" s="22" t="str">
        <x:f>IF(SUM(L4:M4)=0,"NEW",IF(N4&gt;=0.9,"A",IF(N4&gt;=0.75,"B",IF(N4&gt;=0.5,"C","D"))))</x:f>
        <x:v>NEW</x:v>
      </x:c>
      <x:c r="P4" s="22" t="n">
        <x:v>0</x:v>
      </x:c>
      <x:c r="Q4" s="24"/>
      <x:c r="R4" s="24"/>
      <x:c r="S4" s="22" t="str">
        <x:v>原文は「問題データ」シートの同一問題ID（R02-PU01-ハ）を参照。</x:v>
      </x:c>
    </x:row>
    <x:row r="5">
      <x:c r="A5" s="22" t="str">
        <x:v>R02-PU01-ニ</x:v>
      </x:c>
      <x:c r="B5" s="22" t="str">
        <x:v>特許・実用新案</x:v>
      </x:c>
      <x:c r="C5" s="22" t="str">
        <x:v>出願日の認定・補完</x:v>
      </x:c>
      <x:c r="D5" s="22" t="str">
        <x:v>明細書等補完書と手続補完書の先後</x:v>
      </x:c>
      <x:c r="E5" s="22" t="str">
        <x:v>○×</x:v>
      </x:c>
      <x:c r="F5" s="22" t="str">
        <x:v>明細書等補完書を提出した後に手続補完書を提出した場合、出願日は明細書等補完書の提出日となる。</x:v>
      </x:c>
      <x:c r="G5" s="22" t="str">
        <x:v>×</x:v>
      </x:c>
      <x:c r="H5" s="22" t="str">
        <x:v>正解：×　この場合は手続補完書を提出した時に出願したものとみなされるからである（特38条の2第1項1号、38条の4第5項）。</x:v>
      </x:c>
      <x:c r="I5" s="22" t="str">
        <x:v>特38条の2第1項1号、特38条の4第5項</x:v>
      </x:c>
      <x:c r="J5" s="22" t="str"/>
      <x:c r="K5" s="22" t="str">
        <x:v>令和2年度短答（TAC過去問）／【特許・実用新案】1 （ニ）／スライド9</x:v>
      </x:c>
      <x:c r="L5" s="22" t="n">
        <x:v>0</x:v>
      </x:c>
      <x:c r="M5" s="22" t="n">
        <x:v>0</x:v>
      </x:c>
      <x:c r="N5" s="23" t="str">
        <x:f>IF(SUM(L5:M5)=0,"",L5/SUM(L5:M5))</x:f>
      </x:c>
      <x:c r="O5" s="22" t="str">
        <x:f>IF(SUM(L5:M5)=0,"NEW",IF(N5&gt;=0.9,"A",IF(N5&gt;=0.75,"B",IF(N5&gt;=0.5,"C","D"))))</x:f>
        <x:v>NEW</x:v>
      </x:c>
      <x:c r="P5" s="22" t="n">
        <x:v>0</x:v>
      </x:c>
      <x:c r="Q5" s="24"/>
      <x:c r="R5" s="24"/>
      <x:c r="S5" s="22" t="str">
        <x:v>原文は「問題データ」シートの同一問題ID（R02-PU01-ニ）を参照。</x:v>
      </x:c>
    </x:row>
    <x:row r="6">
      <x:c r="A6" s="22" t="str">
        <x:v>R02-PU01-ホ</x:v>
      </x:c>
      <x:c r="B6" s="22" t="str">
        <x:v>特許・実用新案</x:v>
      </x:c>
      <x:c r="C6" s="22" t="str">
        <x:v>実用新案技術評価</x:v>
      </x:c>
      <x:c r="D6" s="22" t="str">
        <x:v>技術評価請求の取下げ</x:v>
      </x:c>
      <x:c r="E6" s="22" t="str">
        <x:v>○×</x:v>
      </x:c>
      <x:c r="F6" s="22" t="str">
        <x:v>実用新案技術評価の請求は、実用新案権者自身がした請求であれば取り下げることができる。</x:v>
      </x:c>
      <x:c r="G6" s="22" t="str">
        <x:v>×</x:v>
      </x:c>
      <x:c r="H6" s="22" t="str">
        <x:v>正解：×　技術評価の請求は、請求人が誰であっても取り下げることができないからである（実12条6項）。評価書を前提に行動する権利者・第三者の期待を保護する趣旨である。</x:v>
      </x:c>
      <x:c r="I6" s="22" t="str">
        <x:v>実12条6項</x:v>
      </x:c>
      <x:c r="J6" s="22" t="str"/>
      <x:c r="K6" s="22" t="str">
        <x:v>令和2年度短答（TAC過去問）／【特許・実用新案】1 （ホ）／スライド10-11</x:v>
      </x:c>
      <x:c r="L6" s="22" t="n">
        <x:v>0</x:v>
      </x:c>
      <x:c r="M6" s="22" t="n">
        <x:v>0</x:v>
      </x:c>
      <x:c r="N6" s="23" t="str">
        <x:f>IF(SUM(L6:M6)=0,"",L6/SUM(L6:M6))</x:f>
      </x:c>
      <x:c r="O6" s="22" t="str">
        <x:f>IF(SUM(L6:M6)=0,"NEW",IF(N6&gt;=0.9,"A",IF(N6&gt;=0.75,"B",IF(N6&gt;=0.5,"C","D"))))</x:f>
        <x:v>NEW</x:v>
      </x:c>
      <x:c r="P6" s="22" t="n">
        <x:v>0</x:v>
      </x:c>
      <x:c r="Q6" s="24"/>
      <x:c r="R6" s="24"/>
      <x:c r="S6" s="22" t="str">
        <x:v>原文は「問題データ」シートの同一問題ID（R02-PU01-ホ）を参照。</x:v>
      </x:c>
    </x:row>
    <x:row r="7">
      <x:c r="A7" s="22" t="str">
        <x:v>R02-PU02-5</x:v>
      </x:c>
      <x:c r="B7" s="22" t="str">
        <x:v>特許・実用新案</x:v>
      </x:c>
      <x:c r="C7" s="22" t="str">
        <x:v>中用権</x:v>
      </x:c>
      <x:c r="D7" s="22" t="str">
        <x:v>無効となった実用新案権者の中用権</x:v>
      </x:c>
      <x:c r="E7" s="22" t="str">
        <x:v>○×</x:v>
      </x:c>
      <x:c r="F7" s="22" t="str">
        <x:v>無審査で登録された実用新案権が無効となった場合、その権利者は無効理由を知らずに実施していれば、先行する実用新案権に対する中用権を取得する。</x:v>
      </x:c>
      <x:c r="G7" s="22" t="str">
        <x:v>×</x:v>
      </x:c>
      <x:c r="H7" s="22" t="str">
        <x:v>正解：×　実用新案は実体審査を経ずに登録されるため、無効理由を知らずに実施していても、無効となった実用新案権者には中用権を認めていないからである（実20条1項、14条2項）。</x:v>
      </x:c>
      <x:c r="I7" s="22" t="str">
        <x:v>実20条1項、実14条2項</x:v>
      </x:c>
      <x:c r="J7" s="22" t="str"/>
      <x:c r="K7" s="22" t="str">
        <x:v>令和2年度短答（TAC過去問）／【特許・実用新案】2 5／スライド12</x:v>
      </x:c>
      <x:c r="L7" s="22" t="n">
        <x:v>0</x:v>
      </x:c>
      <x:c r="M7" s="22" t="n">
        <x:v>0</x:v>
      </x:c>
      <x:c r="N7" s="23" t="str">
        <x:f>IF(SUM(L7:M7)=0,"",L7/SUM(L7:M7))</x:f>
      </x:c>
      <x:c r="O7" s="22" t="str">
        <x:f>IF(SUM(L7:M7)=0,"NEW",IF(N7&gt;=0.9,"A",IF(N7&gt;=0.75,"B",IF(N7&gt;=0.5,"C","D"))))</x:f>
        <x:v>NEW</x:v>
      </x:c>
      <x:c r="P7" s="22" t="n">
        <x:v>0</x:v>
      </x:c>
      <x:c r="Q7" s="24"/>
      <x:c r="R7" s="24"/>
      <x:c r="S7" s="22" t="str">
        <x:v>原文は「問題データ」シートの同一問題ID（R02-PU02-5）を参照。</x:v>
      </x:c>
    </x:row>
    <x:row r="8">
      <x:c r="A8" s="22" t="str">
        <x:v>R02-PU03-ロ</x:v>
      </x:c>
      <x:c r="B8" s="22" t="str">
        <x:v>特許・実用新案</x:v>
      </x:c>
      <x:c r="C8" s="22" t="str">
        <x:v>前置審査</x:v>
      </x:c>
      <x:c r="D8" s="22" t="str">
        <x:v>審査官の除斥</x:v>
      </x:c>
      <x:c r="E8" s="22" t="str">
        <x:v>○×</x:v>
      </x:c>
      <x:c r="F8" s="22" t="str">
        <x:v>拒絶査定に審査官として関与したことは、その審査官が前置審査を担当する際の除斥理由となる。</x:v>
      </x:c>
      <x:c r="G8" s="22" t="str">
        <x:v>×</x:v>
      </x:c>
      <x:c r="H8" s="22" t="str">
        <x:v>正解：×　「不服を申し立てられた査定に審査官として関与したこと」は審判官に特有の除斥理由であり、審査官には準用されていないからである（特139条6号、163条1項）。前置審査は審査段階でもう一度見直す仕組みである。</x:v>
      </x:c>
      <x:c r="I8" s="22" t="str">
        <x:v>特139条6号、特163条1項、特48条</x:v>
      </x:c>
      <x:c r="J8" s="22" t="str"/>
      <x:c r="K8" s="22" t="str">
        <x:v>令和2年度短答（TAC過去問）／【特許・実用新案】3 （ロ）／スライド13</x:v>
      </x:c>
      <x:c r="L8" s="22" t="n">
        <x:v>0</x:v>
      </x:c>
      <x:c r="M8" s="22" t="n">
        <x:v>0</x:v>
      </x:c>
      <x:c r="N8" s="23" t="str">
        <x:f>IF(SUM(L8:M8)=0,"",L8/SUM(L8:M8))</x:f>
      </x:c>
      <x:c r="O8" s="22" t="str">
        <x:f>IF(SUM(L8:M8)=0,"NEW",IF(N8&gt;=0.9,"A",IF(N8&gt;=0.75,"B",IF(N8&gt;=0.5,"C","D"))))</x:f>
        <x:v>NEW</x:v>
      </x:c>
      <x:c r="P8" s="22" t="n">
        <x:v>0</x:v>
      </x:c>
      <x:c r="Q8" s="24"/>
      <x:c r="R8" s="24"/>
      <x:c r="S8" s="22" t="str">
        <x:v>原文は「問題データ」シートの同一問題ID（R02-PU03-ロ）を参照。</x:v>
      </x:c>
    </x:row>
    <x:row r="9">
      <x:c r="A9" s="22" t="str">
        <x:v>R02-PU03-ハ</x:v>
      </x:c>
      <x:c r="B9" s="22" t="str">
        <x:v>特許・実用新案</x:v>
      </x:c>
      <x:c r="C9" s="22" t="str">
        <x:v>分割出願・拒絶査定不服審判</x:v>
      </x:c>
      <x:c r="D9" s="22" t="str">
        <x:v>拒絶査定後の分割と審判請求の併存</x:v>
      </x:c>
      <x:c r="E9" s="22" t="str">
        <x:v>○×</x:v>
      </x:c>
      <x:c r="F9" s="22" t="str">
        <x:v>最初の拒絶査定後に分割出願をした場合、その後は拒絶査定不服審判を請求できない。</x:v>
      </x:c>
      <x:c r="G9" s="22" t="str">
        <x:v>×</x:v>
      </x:c>
      <x:c r="H9" s="22" t="str">
        <x:v>正解：×　最初の拒絶査定謄本送達後3月以内であれば、分割出願も拒絶査定不服審判の請求もそれぞれ可能だからである（特44条1項3号、121条1項）。</x:v>
      </x:c>
      <x:c r="I9" s="22" t="str">
        <x:v>特44条1項3号、特121条1項</x:v>
      </x:c>
      <x:c r="J9" s="22" t="str"/>
      <x:c r="K9" s="22" t="str">
        <x:v>令和2年度短答（TAC過去問）／【特許・実用新案】3 （ハ）／スライド14</x:v>
      </x:c>
      <x:c r="L9" s="22" t="n">
        <x:v>0</x:v>
      </x:c>
      <x:c r="M9" s="22" t="n">
        <x:v>0</x:v>
      </x:c>
      <x:c r="N9" s="23" t="str">
        <x:f>IF(SUM(L9:M9)=0,"",L9/SUM(L9:M9))</x:f>
      </x:c>
      <x:c r="O9" s="22" t="str">
        <x:f>IF(SUM(L9:M9)=0,"NEW",IF(N9&gt;=0.9,"A",IF(N9&gt;=0.75,"B",IF(N9&gt;=0.5,"C","D"))))</x:f>
        <x:v>NEW</x:v>
      </x:c>
      <x:c r="P9" s="22" t="n">
        <x:v>0</x:v>
      </x:c>
      <x:c r="Q9" s="24"/>
      <x:c r="R9" s="24"/>
      <x:c r="S9" s="22" t="str">
        <x:v>原文は「問題データ」シートの同一問題ID（R02-PU03-ハ）を参照。</x:v>
      </x:c>
    </x:row>
    <x:row r="10">
      <x:c r="A10" s="22" t="str">
        <x:v>R02-PU03-ニ</x:v>
      </x:c>
      <x:c r="B10" s="22" t="str">
        <x:v>特許・実用新案</x:v>
      </x:c>
      <x:c r="C10" s="22" t="str">
        <x:v>拒絶査定不服審判</x:v>
      </x:c>
      <x:c r="D10" s="22" t="str">
        <x:v>審判請求時補正の補正却下</x:v>
      </x:c>
      <x:c r="E10" s="22" t="str">
        <x:v>○×</x:v>
      </x:c>
      <x:c r="F10" s="22" t="str">
        <x:v>拒絶査定不服審判の請求時補正が新規事項追加に当たるとき、意見書提出の機会を与えず補正却下される場合がある。</x:v>
      </x:c>
      <x:c r="G10" s="22" t="str">
        <x:v>○</x:v>
      </x:c>
      <x:c r="H10" s="22" t="str">
        <x:v>正解：○　審判請求時補正には補正却下の規定が準用され、新規事項追加に当たれば意見書提出の機会なく却下される場合があるからである（特159条1項で準用する53条1項）。不適法補正について拒絶理由通知と補正を繰り返すことを避け、審理の迅速化を図る趣旨である。</x:v>
      </x:c>
      <x:c r="I10" s="22" t="str">
        <x:v>特159条1項、特53条1項、特17条の2第3項</x:v>
      </x:c>
      <x:c r="J10" s="22" t="str"/>
      <x:c r="K10" s="22" t="str">
        <x:v>令和2年度短答（TAC過去問）／【特許・実用新案】3 （ニ）／スライド15-16</x:v>
      </x:c>
      <x:c r="L10" s="22" t="n">
        <x:v>0</x:v>
      </x:c>
      <x:c r="M10" s="22" t="n">
        <x:v>0</x:v>
      </x:c>
      <x:c r="N10" s="23" t="str">
        <x:f>IF(SUM(L10:M10)=0,"",L10/SUM(L10:M10))</x:f>
      </x:c>
      <x:c r="O10" s="22" t="str">
        <x:f>IF(SUM(L10:M10)=0,"NEW",IF(N10&gt;=0.9,"A",IF(N10&gt;=0.75,"B",IF(N10&gt;=0.5,"C","D"))))</x:f>
        <x:v>NEW</x:v>
      </x:c>
      <x:c r="P10" s="22" t="n">
        <x:v>0</x:v>
      </x:c>
      <x:c r="Q10" s="24"/>
      <x:c r="R10" s="24"/>
      <x:c r="S10" s="22" t="str">
        <x:v>原文は「問題データ」シートの同一問題ID（R02-PU03-ニ）を参照。</x:v>
      </x:c>
    </x:row>
    <x:row r="11">
      <x:c r="A11" s="22" t="str">
        <x:v>R02-PU04-ハ</x:v>
      </x:c>
      <x:c r="B11" s="22" t="str">
        <x:v>特許・実用新案</x:v>
      </x:c>
      <x:c r="C11" s="22" t="str">
        <x:v>拡大先願</x:v>
      </x:c>
      <x:c r="D11" s="22" t="str">
        <x:v>国内優先権後願に追加された発明</x:v>
      </x:c>
      <x:c r="E11" s="22" t="str">
        <x:v>○×</x:v>
      </x:c>
      <x:c r="F11" s="22" t="str">
        <x:v>国内優先権を主張する後願Bに追加した発明ロは、Bの公開前に第三者が出願した後願Cに対して、29条の2の先願となり得ない。</x:v>
      </x:c>
      <x:c r="G11" s="22" t="str">
        <x:v>×</x:v>
      </x:c>
      <x:c r="H11" s="22" t="str">
        <x:v>正解：×　BがCより先に出願され、Cの出願後にBが公開され、その他の29条の2の要件を満たせば、Bは発明ロについて拡大先願となるからである（特29条の2、49条2号）。</x:v>
      </x:c>
      <x:c r="I11" s="22" t="str">
        <x:v>特29条の2、特49条2号</x:v>
      </x:c>
      <x:c r="J11" s="22" t="str"/>
      <x:c r="K11" s="22" t="str">
        <x:v>令和2年度短答（TAC過去問）／【特許・実用新案】4 （ハ）／スライド17-18</x:v>
      </x:c>
      <x:c r="L11" s="22" t="n">
        <x:v>0</x:v>
      </x:c>
      <x:c r="M11" s="22" t="n">
        <x:v>0</x:v>
      </x:c>
      <x:c r="N11" s="23" t="str">
        <x:f>IF(SUM(L11:M11)=0,"",L11/SUM(L11:M11))</x:f>
      </x:c>
      <x:c r="O11" s="22" t="str">
        <x:f>IF(SUM(L11:M11)=0,"NEW",IF(N11&gt;=0.9,"A",IF(N11&gt;=0.75,"B",IF(N11&gt;=0.5,"C","D"))))</x:f>
        <x:v>NEW</x:v>
      </x:c>
      <x:c r="P11" s="22" t="n">
        <x:v>0</x:v>
      </x:c>
      <x:c r="Q11" s="24"/>
      <x:c r="R11" s="24"/>
      <x:c r="S11" s="22" t="str">
        <x:v>原文は「問題データ」シートの同一問題ID（R02-PU04-ハ）を参照。</x:v>
      </x:c>
    </x:row>
    <x:row r="12">
      <x:c r="A12" s="22" t="str">
        <x:v>R02-PU04-ホ</x:v>
      </x:c>
      <x:c r="B12" s="22" t="str">
        <x:v>特許・実用新案</x:v>
      </x:c>
      <x:c r="C12" s="22" t="str">
        <x:v>拡大先願</x:v>
      </x:c>
      <x:c r="D12" s="22" t="str">
        <x:v>特許掲載公報による後願排除</x:v>
      </x:c>
      <x:c r="E12" s="22" t="str">
        <x:v>○×</x:v>
      </x:c>
      <x:c r="F12" s="22" t="str">
        <x:v>先願が出願公開されず、後願の出願後に特許掲載公報だけが発行された場合でも、先願明細書に記載された同一発明について29条の2が適用されることがある。</x:v>
      </x:c>
      <x:c r="G12" s="22" t="str">
        <x:v>○</x:v>
      </x:c>
      <x:c r="H12" s="22" t="str">
        <x:v>正解：○　29条の2は、先願について後願の出願後に「特許掲載公報の発行」又は「出願公開」がされた場合を対象とするからである（特29条の2、49条2号）。</x:v>
      </x:c>
      <x:c r="I12" s="22" t="str">
        <x:v>特29条の2、特49条2号</x:v>
      </x:c>
      <x:c r="J12" s="22" t="str"/>
      <x:c r="K12" s="22" t="str">
        <x:v>令和2年度短答（TAC過去問）／【特許・実用新案】4 （ホ）／スライド19-20</x:v>
      </x:c>
      <x:c r="L12" s="22" t="n">
        <x:v>0</x:v>
      </x:c>
      <x:c r="M12" s="22" t="n">
        <x:v>0</x:v>
      </x:c>
      <x:c r="N12" s="23" t="str">
        <x:f>IF(SUM(L12:M12)=0,"",L12/SUM(L12:M12))</x:f>
      </x:c>
      <x:c r="O12" s="22" t="str">
        <x:f>IF(SUM(L12:M12)=0,"NEW",IF(N12&gt;=0.9,"A",IF(N12&gt;=0.75,"B",IF(N12&gt;=0.5,"C","D"))))</x:f>
        <x:v>NEW</x:v>
      </x:c>
      <x:c r="P12" s="22" t="n">
        <x:v>0</x:v>
      </x:c>
      <x:c r="Q12" s="24"/>
      <x:c r="R12" s="24"/>
      <x:c r="S12" s="22" t="str">
        <x:v>原文は「問題データ」シートの同一問題ID（R02-PU04-ホ）を参照。</x:v>
      </x:c>
    </x:row>
    <x:row r="13">
      <x:c r="A13" s="22" t="str">
        <x:v>R02-PU05-イ</x:v>
      </x:c>
      <x:c r="B13" s="22" t="str">
        <x:v>特許・実用新案</x:v>
      </x:c>
      <x:c r="C13" s="22" t="str">
        <x:v>再審</x:v>
      </x:c>
      <x:c r="D13" s="22" t="str">
        <x:v>確定取消決定に対する再審での審尋</x:v>
      </x:c>
      <x:c r="E13" s="22" t="str">
        <x:v>○×</x:v>
      </x:c>
      <x:c r="F13" s="22" t="str">
        <x:v>確定した取消決定に対する再審でも、審判長は当事者及び参加人を審尋することができる。</x:v>
      </x:c>
      <x:c r="G13" s="22" t="str">
        <x:v>○</x:v>
      </x:c>
      <x:c r="H13" s="22" t="str">
        <x:v>正解：○　審尋の規定が特許異議申立てを経て、確定した取消決定に対する再審にも準用されるからである（特134条4項、120条の8第1項、174条1項）。確定処分を覆す手続でも当事者の主張を確認する必要があるという趣旨である。</x:v>
      </x:c>
      <x:c r="I13" s="22" t="str">
        <x:v>特134条4項、特120条の8第1項、特174条1項</x:v>
      </x:c>
      <x:c r="J13" s="22" t="str"/>
      <x:c r="K13" s="22" t="str">
        <x:v>令和2年度短答（TAC過去問）／【特許・実用新案】5 （イ）／スライド21</x:v>
      </x:c>
      <x:c r="L13" s="22" t="n">
        <x:v>0</x:v>
      </x:c>
      <x:c r="M13" s="22" t="n">
        <x:v>0</x:v>
      </x:c>
      <x:c r="N13" s="23" t="str">
        <x:f>IF(SUM(L13:M13)=0,"",L13/SUM(L13:M13))</x:f>
      </x:c>
      <x:c r="O13" s="22" t="str">
        <x:f>IF(SUM(L13:M13)=0,"NEW",IF(N13&gt;=0.9,"A",IF(N13&gt;=0.75,"B",IF(N13&gt;=0.5,"C","D"))))</x:f>
        <x:v>NEW</x:v>
      </x:c>
      <x:c r="P13" s="22" t="n">
        <x:v>0</x:v>
      </x:c>
      <x:c r="Q13" s="24"/>
      <x:c r="R13" s="24"/>
      <x:c r="S13" s="22" t="str">
        <x:v>原文は「問題データ」シートの同一問題ID（R02-PU05-イ）を参照。</x:v>
      </x:c>
    </x:row>
    <x:row r="14">
      <x:c r="A14" s="22" t="str">
        <x:v>R02-PU05-ロ</x:v>
      </x:c>
      <x:c r="B14" s="22" t="str">
        <x:v>特許・実用新案</x:v>
      </x:c>
      <x:c r="C14" s="22" t="str">
        <x:v>再審</x:v>
      </x:c>
      <x:c r="D14" s="22" t="str">
        <x:v>不責理由による請求期間の追完</x:v>
      </x:c>
      <x:c r="E14" s="22" t="str">
        <x:v>○×</x:v>
      </x:c>
      <x:c r="F14" s="22" t="str">
        <x:v>不責理由により再審請求ができなかった場合、再審理由を知った日から6月を超えると追完できない。</x:v>
      </x:c>
      <x:c r="G14" s="22" t="str">
        <x:v>×</x:v>
      </x:c>
      <x:c r="H14" s="22" t="str">
        <x:v>正解：×　6月の外枠は「再審理由を知った日」からではなく、原則の30日間の経過後から起算するからである（特173条2項）。再審請求期間を無制限にせず、法的安定性を確保する趣旨である。</x:v>
      </x:c>
      <x:c r="I14" s="22" t="str">
        <x:v>特173条1項・2項</x:v>
      </x:c>
      <x:c r="J14" s="22" t="str"/>
      <x:c r="K14" s="22" t="str">
        <x:v>令和2年度短答（TAC過去問）／【特許・実用新案】5 （ロ）／スライド22</x:v>
      </x:c>
      <x:c r="L14" s="22" t="n">
        <x:v>0</x:v>
      </x:c>
      <x:c r="M14" s="22" t="n">
        <x:v>0</x:v>
      </x:c>
      <x:c r="N14" s="23" t="str">
        <x:f>IF(SUM(L14:M14)=0,"",L14/SUM(L14:M14))</x:f>
      </x:c>
      <x:c r="O14" s="22" t="str">
        <x:f>IF(SUM(L14:M14)=0,"NEW",IF(N14&gt;=0.9,"A",IF(N14&gt;=0.75,"B",IF(N14&gt;=0.5,"C","D"))))</x:f>
        <x:v>NEW</x:v>
      </x:c>
      <x:c r="P14" s="22" t="n">
        <x:v>0</x:v>
      </x:c>
      <x:c r="Q14" s="24"/>
      <x:c r="R14" s="24"/>
      <x:c r="S14" s="22" t="str">
        <x:v>原文は「問題データ」シートの同一問題ID（R02-PU05-ロ）を参照。</x:v>
      </x:c>
    </x:row>
    <x:row r="15">
      <x:c r="A15" s="22" t="str">
        <x:v>R02-PU05-ハ</x:v>
      </x:c>
      <x:c r="B15" s="22" t="str">
        <x:v>特許・実用新案</x:v>
      </x:c>
      <x:c r="C15" s="22" t="str">
        <x:v>再審</x:v>
      </x:c>
      <x:c r="D15" s="22" t="str">
        <x:v>請求項ごとの取下げ</x:v>
      </x:c>
      <x:c r="E15" s="22" t="str">
        <x:v>○×</x:v>
      </x:c>
      <x:c r="F15" s="22" t="str">
        <x:v>確定取消決定に対する再審で複数請求項について請求した場合、決定確定前であれば請求項ごとに取り下げることができる。</x:v>
      </x:c>
      <x:c r="G15" s="22" t="str">
        <x:v>○</x:v>
      </x:c>
      <x:c r="H15" s="22" t="str">
        <x:v>正解：○　審判請求の取下げ及び請求項ごとの取下げの規定が、確定取消決定に対する再審にも準用されるからである（特155条1項・3項、174条1項）。当事者の対応の自由度を高め、紛争の早期解決を図る趣旨である。</x:v>
      </x:c>
      <x:c r="I15" s="22" t="str">
        <x:v>特155条1項・3項、特174条1項</x:v>
      </x:c>
      <x:c r="J15" s="22" t="str"/>
      <x:c r="K15" s="22" t="str">
        <x:v>令和2年度短答（TAC過去問）／【特許・実用新案】5 （ハ）／スライド24-25</x:v>
      </x:c>
      <x:c r="L15" s="22" t="n">
        <x:v>0</x:v>
      </x:c>
      <x:c r="M15" s="22" t="n">
        <x:v>0</x:v>
      </x:c>
      <x:c r="N15" s="23" t="str">
        <x:f>IF(SUM(L15:M15)=0,"",L15/SUM(L15:M15))</x:f>
      </x:c>
      <x:c r="O15" s="22" t="str">
        <x:f>IF(SUM(L15:M15)=0,"NEW",IF(N15&gt;=0.9,"A",IF(N15&gt;=0.75,"B",IF(N15&gt;=0.5,"C","D"))))</x:f>
        <x:v>NEW</x:v>
      </x:c>
      <x:c r="P15" s="22" t="n">
        <x:v>0</x:v>
      </x:c>
      <x:c r="Q15" s="24"/>
      <x:c r="R15" s="24"/>
      <x:c r="S15" s="22" t="str">
        <x:v>原文は「問題データ」シートの同一問題ID（R02-PU05-ハ）を参照。</x:v>
      </x:c>
    </x:row>
    <x:row r="16">
      <x:c r="A16" s="22" t="str">
        <x:v>R02-PU05-ニ</x:v>
      </x:c>
      <x:c r="B16" s="22" t="str">
        <x:v>特許・実用新案</x:v>
      </x:c>
      <x:c r="C16" s="22" t="str">
        <x:v>再審</x:v>
      </x:c>
      <x:c r="D16" s="22" t="str">
        <x:v>無効審決に対する再審中の訂正</x:v>
      </x:c>
      <x:c r="E16" s="22" t="str">
        <x:v>○×</x:v>
      </x:c>
      <x:c r="F16" s="22" t="str">
        <x:v>特許無効審判の確定審決に対する再審中に、訂正請求が認められる場合がある。</x:v>
      </x:c>
      <x:c r="G16" s="22" t="str">
        <x:v>×</x:v>
      </x:c>
      <x:c r="H16" s="22" t="str">
        <x:v>正解：×　無効審決に対する再審には訂正請求の規定が準用されていないからである（特174条3項、134条の2）。訂正の遡及効によって、確定審決が判断した対象と異なる特許を再審で扱うことを避ける趣旨である。</x:v>
      </x:c>
      <x:c r="I16" s="22" t="str">
        <x:v>特174条3項、特134条の2</x:v>
      </x:c>
      <x:c r="J16" s="22" t="str"/>
      <x:c r="K16" s="22" t="str">
        <x:v>令和2年度短答（TAC過去問）／【特許・実用新案】5 （ニ）／スライド26</x:v>
      </x:c>
      <x:c r="L16" s="22" t="n">
        <x:v>0</x:v>
      </x:c>
      <x:c r="M16" s="22" t="n">
        <x:v>0</x:v>
      </x:c>
      <x:c r="N16" s="23" t="str">
        <x:f>IF(SUM(L16:M16)=0,"",L16/SUM(L16:M16))</x:f>
      </x:c>
      <x:c r="O16" s="22" t="str">
        <x:f>IF(SUM(L16:M16)=0,"NEW",IF(N16&gt;=0.9,"A",IF(N16&gt;=0.75,"B",IF(N16&gt;=0.5,"C","D"))))</x:f>
        <x:v>NEW</x:v>
      </x:c>
      <x:c r="P16" s="22" t="n">
        <x:v>0</x:v>
      </x:c>
      <x:c r="Q16" s="24"/>
      <x:c r="R16" s="24"/>
      <x:c r="S16" s="22" t="str">
        <x:v>原文は「問題データ」シートの同一問題ID（R02-PU05-ニ）を参照。</x:v>
      </x:c>
    </x:row>
    <x:row r="17">
      <x:c r="A17" s="22" t="str">
        <x:v>R02-PU05-ホ</x:v>
      </x:c>
      <x:c r="B17" s="22" t="str">
        <x:v>特許・実用新案</x:v>
      </x:c>
      <x:c r="C17" s="22" t="str">
        <x:v>再審</x:v>
      </x:c>
      <x:c r="D17" s="22" t="str">
        <x:v>再審で回復した特許権の効力</x:v>
      </x:c>
      <x:c r="E17" s="22" t="str">
        <x:v>○×</x:v>
      </x:c>
      <x:c r="F17" s="22" t="str">
        <x:v>無効審決確定後から再審による特許権回復までの善意の実施には、すべて特許権の効力が及ばない。</x:v>
      </x:c>
      <x:c r="G17" s="22" t="str">
        <x:v>×</x:v>
      </x:c>
      <x:c r="H17" s="22" t="str">
        <x:v>正解：×　特許権の効力が及ばないのは、無効審決確定後から「再審請求の登録前」までの善意実施であり、登録後の実施は侵害となる場合があるからである（特175条2項1号）。</x:v>
      </x:c>
      <x:c r="I17" s="22" t="str">
        <x:v>特175条2項1号</x:v>
      </x:c>
      <x:c r="J17" s="22" t="str"/>
      <x:c r="K17" s="22" t="str">
        <x:v>令和2年度短答（TAC過去問）／【特許・実用新案】5 （ホ）／スライド27</x:v>
      </x:c>
      <x:c r="L17" s="22" t="n">
        <x:v>0</x:v>
      </x:c>
      <x:c r="M17" s="22" t="n">
        <x:v>0</x:v>
      </x:c>
      <x:c r="N17" s="23" t="str">
        <x:f>IF(SUM(L17:M17)=0,"",L17/SUM(L17:M17))</x:f>
      </x:c>
      <x:c r="O17" s="22" t="str">
        <x:f>IF(SUM(L17:M17)=0,"NEW",IF(N17&gt;=0.9,"A",IF(N17&gt;=0.75,"B",IF(N17&gt;=0.5,"C","D"))))</x:f>
        <x:v>NEW</x:v>
      </x:c>
      <x:c r="P17" s="22" t="n">
        <x:v>0</x:v>
      </x:c>
      <x:c r="Q17" s="24"/>
      <x:c r="R17" s="24"/>
      <x:c r="S17" s="22" t="str">
        <x:v>原文は「問題データ」シートの同一問題ID（R02-PU05-ホ）を参照。</x:v>
      </x:c>
    </x:row>
    <x:row r="18">
      <x:c r="A18" s="22" t="str">
        <x:v>R02-PU06-1</x:v>
      </x:c>
      <x:c r="B18" s="22" t="str">
        <x:v>特許・実用新案</x:v>
      </x:c>
      <x:c r="C18" s="22" t="str">
        <x:v>分割出願</x:v>
      </x:c>
      <x:c r="D18" s="22" t="str">
        <x:v>特許査定後の分割可能期間</x:v>
      </x:c>
      <x:c r="E18" s="22" t="str">
        <x:v>○×</x:v>
      </x:c>
      <x:c r="F18" s="22" t="str">
        <x:v>特許査定謄本送達後30日以内であっても、特許権の設定登録後は分割出願できない。</x:v>
      </x:c>
      <x:c r="G18" s="22" t="str">
        <x:v>○</x:v>
      </x:c>
      <x:c r="H18" s="22" t="str">
        <x:v>正解：○　設定登録後は元の特許出願が特許庁に係属しなくなり、分割できないからである（特44条1項2号、66条2項）。特許査定後にも分割検討の機会を残す救済制度である。</x:v>
      </x:c>
      <x:c r="I18" s="22" t="str">
        <x:v>特44条1項2号、特66条2項</x:v>
      </x:c>
      <x:c r="J18" s="22" t="str"/>
      <x:c r="K18" s="22" t="str">
        <x:v>令和2年度短答（TAC過去問）／【特許・実用新案】6 1／スライド28</x:v>
      </x:c>
      <x:c r="L18" s="22" t="n">
        <x:v>0</x:v>
      </x:c>
      <x:c r="M18" s="22" t="n">
        <x:v>0</x:v>
      </x:c>
      <x:c r="N18" s="23" t="str">
        <x:f>IF(SUM(L18:M18)=0,"",L18/SUM(L18:M18))</x:f>
      </x:c>
      <x:c r="O18" s="22" t="str">
        <x:f>IF(SUM(L18:M18)=0,"NEW",IF(N18&gt;=0.9,"A",IF(N18&gt;=0.75,"B",IF(N18&gt;=0.5,"C","D"))))</x:f>
        <x:v>NEW</x:v>
      </x:c>
      <x:c r="P18" s="22" t="n">
        <x:v>0</x:v>
      </x:c>
      <x:c r="Q18" s="24"/>
      <x:c r="R18" s="24"/>
      <x:c r="S18" s="22" t="str">
        <x:v>原文は「問題データ」シートの同一問題ID（R02-PU06-1）を参照。</x:v>
      </x:c>
    </x:row>
    <x:row r="19">
      <x:c r="A19" s="22" t="str">
        <x:v>R02-PU06-2</x:v>
      </x:c>
      <x:c r="B19" s="22" t="str">
        <x:v>特許・実用新案</x:v>
      </x:c>
      <x:c r="C19" s="22" t="str">
        <x:v>実用新案登録に基づく特許出願</x:v>
      </x:c>
      <x:c r="D19" s="22" t="str">
        <x:v>技術評価請求後の特許出願</x:v>
      </x:c>
      <x:c r="E19" s="22" t="str">
        <x:v>○×</x:v>
      </x:c>
      <x:c r="F19" s="22" t="str">
        <x:v>実用新案技術評価を一部の請求項について請求した後、その請求項を削除すれば、実用新案登録に基づく特許出願ができる。</x:v>
      </x:c>
      <x:c r="G19" s="22" t="str">
        <x:v>×</x:v>
      </x:c>
      <x:c r="H19" s="22" t="str">
        <x:v>正解：×　技術評価の請求があった後は、請求項単位ではなく、その実用新案登録に基づく特許出願自体ができないからである（特46条の2第1項2号、実50条の2）。二重の審査を防止する趣旨である。</x:v>
      </x:c>
      <x:c r="I19" s="22" t="str">
        <x:v>特46条の2第1項2号、実50条の2</x:v>
      </x:c>
      <x:c r="J19" s="22" t="str"/>
      <x:c r="K19" s="22" t="str">
        <x:v>令和2年度短答（TAC過去問）／【特許・実用新案】6 2／スライド33</x:v>
      </x:c>
      <x:c r="L19" s="22" t="n">
        <x:v>0</x:v>
      </x:c>
      <x:c r="M19" s="22" t="n">
        <x:v>0</x:v>
      </x:c>
      <x:c r="N19" s="23" t="str">
        <x:f>IF(SUM(L19:M19)=0,"",L19/SUM(L19:M19))</x:f>
      </x:c>
      <x:c r="O19" s="22" t="str">
        <x:f>IF(SUM(L19:M19)=0,"NEW",IF(N19&gt;=0.9,"A",IF(N19&gt;=0.75,"B",IF(N19&gt;=0.5,"C","D"))))</x:f>
        <x:v>NEW</x:v>
      </x:c>
      <x:c r="P19" s="22" t="n">
        <x:v>0</x:v>
      </x:c>
      <x:c r="Q19" s="24"/>
      <x:c r="R19" s="24"/>
      <x:c r="S19" s="22" t="str">
        <x:v>原文は「問題データ」シートの同一問題ID（R02-PU06-2）を参照。</x:v>
      </x:c>
    </x:row>
    <x:row r="20">
      <x:c r="A20" s="22" t="str">
        <x:v>R02-PU06-3</x:v>
      </x:c>
      <x:c r="B20" s="22" t="str">
        <x:v>特許・実用新案</x:v>
      </x:c>
      <x:c r="C20" s="22" t="str">
        <x:v>出願の変更</x:v>
      </x:c>
      <x:c r="D20" s="22" t="str">
        <x:v>仮通常実施権者の承諾</x:v>
      </x:c>
      <x:c r="E20" s="22" t="str">
        <x:v>○×</x:v>
      </x:c>
      <x:c r="F20" s="22" t="str">
        <x:v>意匠登録出願を特許出願に変更するには、仮通常実施権者の承諾が必要である。</x:v>
      </x:c>
      <x:c r="G20" s="22" t="str">
        <x:v>×</x:v>
      </x:c>
      <x:c r="H20" s="22" t="str">
        <x:v>正解：×　出願変更について仮通常実施権者の承諾は要求されていないからである（特46条2項）。その代わり、変更後の特許を受ける権利について一定範囲で仮通常実施権が許諾されたものとみなし、実施の継続を確保する（特34条の3第9項）。</x:v>
      </x:c>
      <x:c r="I20" s="22" t="str">
        <x:v>特46条2項、特34条の3第9項</x:v>
      </x:c>
      <x:c r="J20" s="22" t="str"/>
      <x:c r="K20" s="22" t="str">
        <x:v>令和2年度短答（TAC過去問）／【特許・実用新案】6 3／スライド34</x:v>
      </x:c>
      <x:c r="L20" s="22" t="n">
        <x:v>0</x:v>
      </x:c>
      <x:c r="M20" s="22" t="n">
        <x:v>0</x:v>
      </x:c>
      <x:c r="N20" s="23" t="str">
        <x:f>IF(SUM(L20:M20)=0,"",L20/SUM(L20:M20))</x:f>
      </x:c>
      <x:c r="O20" s="22" t="str">
        <x:f>IF(SUM(L20:M20)=0,"NEW",IF(N20&gt;=0.9,"A",IF(N20&gt;=0.75,"B",IF(N20&gt;=0.5,"C","D"))))</x:f>
        <x:v>NEW</x:v>
      </x:c>
      <x:c r="P20" s="22" t="n">
        <x:v>0</x:v>
      </x:c>
      <x:c r="Q20" s="24"/>
      <x:c r="R20" s="24"/>
      <x:c r="S20" s="22" t="str">
        <x:v>原文は「問題データ」シートの同一問題ID（R02-PU06-3）を参照。</x:v>
      </x:c>
    </x:row>
    <x:row r="21">
      <x:c r="A21" s="22" t="str">
        <x:v>R02-PU06-4</x:v>
      </x:c>
      <x:c r="B21" s="22" t="str">
        <x:v>特許・実用新案</x:v>
      </x:c>
      <x:c r="C21" s="22" t="str">
        <x:v>分割出願・パリ優先権</x:v>
      </x:c>
      <x:c r="D21" s="22" t="str">
        <x:v>優先権書類の提出みなし</x:v>
      </x:c>
      <x:c r="E21" s="22" t="str">
        <x:v>○×</x:v>
      </x:c>
      <x:c r="F21" s="22" t="str">
        <x:v>パリ優先権を伴う特許出願を分割した場合、分割出願では優先権主張書面を改めて提出しなければならない。</x:v>
      </x:c>
      <x:c r="G21" s="22" t="str">
        <x:v>×</x:v>
      </x:c>
      <x:c r="H21" s="22" t="str">
        <x:v>正解：×　元の出願について提出された優先権主張書面・優先権証明書類等は、分割出願と同時に提出されたものとみなされるからである（特44条4項）。</x:v>
      </x:c>
      <x:c r="I21" s="22" t="str">
        <x:v>特44条4項</x:v>
      </x:c>
      <x:c r="J21" s="22" t="str"/>
      <x:c r="K21" s="22" t="str">
        <x:v>令和2年度短答（TAC過去問）／【特許・実用新案】6 4／スライド35</x:v>
      </x:c>
      <x:c r="L21" s="22" t="n">
        <x:v>0</x:v>
      </x:c>
      <x:c r="M21" s="22" t="n">
        <x:v>0</x:v>
      </x:c>
      <x:c r="N21" s="23" t="str">
        <x:f>IF(SUM(L21:M21)=0,"",L21/SUM(L21:M21))</x:f>
      </x:c>
      <x:c r="O21" s="22" t="str">
        <x:f>IF(SUM(L21:M21)=0,"NEW",IF(N21&gt;=0.9,"A",IF(N21&gt;=0.75,"B",IF(N21&gt;=0.5,"C","D"))))</x:f>
        <x:v>NEW</x:v>
      </x:c>
      <x:c r="P21" s="22" t="n">
        <x:v>0</x:v>
      </x:c>
      <x:c r="Q21" s="24"/>
      <x:c r="R21" s="24"/>
      <x:c r="S21" s="22" t="str">
        <x:v>原文は「問題データ」シートの同一問題ID（R02-PU06-4）を参照。</x:v>
      </x:c>
    </x:row>
  </x:sheetData>
  <x:conditionalFormatting sqref="G2:G21">
    <x:cfRule type="expression" dxfId="5" priority="1">
      <x:formula>G2="○"</x:formula>
    </x:cfRule>
    <x:cfRule type="expression" dxfId="6" priority="2">
      <x:formula>G2="×"</x:formula>
    </x:cfRule>
  </x:conditionalFormatting>
  <x:conditionalFormatting sqref="O2:O21">
    <x:cfRule type="expression" dxfId="7" priority="3">
      <x:formula>O2="D"</x:formula>
    </x:cfRule>
    <x:cfRule type="expression" dxfId="8" priority="4">
      <x:formula>O2="C"</x:formula>
    </x:cfRule>
    <x:cfRule type="expression" dxfId="9" priority="5">
      <x:formula>O2="B"</x:formula>
    </x:cfRule>
    <x:cfRule type="expression" dxfId="10" priority="6">
      <x:formula>O2="A"</x:formula>
    </x:cfRule>
    <x:cfRule type="expression" dxfId="11" priority="7">
      <x:formula>O2="NEW"</x:formula>
    </x:cfRule>
  </x:conditionalFormatting>
  <x:pageMargins left="0.7" right="0.7" top="0.75" bottom="0.75" header="0.3" footer="0.3"/>
  <x:tableParts count="1">
    <x:tablePart xmlns:r="http://schemas.openxmlformats.org/officeDocument/2006/relationships" r:id="Rd55ea93babad4256"/>
  </x:tableParts>
</x:worksheet>
</file>